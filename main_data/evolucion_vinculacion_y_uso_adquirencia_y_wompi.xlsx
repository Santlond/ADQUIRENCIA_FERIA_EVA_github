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antlond/Documents/ADQUIRENCIA_FERIA_EVA/main_data/"/>
    </mc:Choice>
  </mc:AlternateContent>
  <xr:revisionPtr revIDLastSave="0" documentId="13_ncr:1_{45161619-E9AC-8645-BCB9-64855841A959}" xr6:coauthVersionLast="47" xr6:coauthVersionMax="47" xr10:uidLastSave="{00000000-0000-0000-0000-000000000000}"/>
  <bookViews>
    <workbookView xWindow="0" yWindow="680" windowWidth="34560" windowHeight="19860" activeTab="5" xr2:uid="{00000000-000D-0000-FFFF-FFFF00000000}"/>
  </bookViews>
  <sheets>
    <sheet name="data" sheetId="1" r:id="rId1"/>
    <sheet name="Vinculaciones" sheetId="2" r:id="rId2"/>
    <sheet name="Uso" sheetId="3" r:id="rId3"/>
    <sheet name="Proporcion Uso" sheetId="4" r:id="rId4"/>
    <sheet name="proyecciones vinculaciones" sheetId="5" r:id="rId5"/>
    <sheet name="proyecciones us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6" l="1"/>
  <c r="C51" i="6"/>
  <c r="C52" i="6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50" i="6"/>
  <c r="B78" i="6"/>
  <c r="B77" i="6"/>
  <c r="M78" i="5"/>
  <c r="C51" i="5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50" i="5"/>
  <c r="C49" i="5"/>
  <c r="C76" i="5"/>
  <c r="F53" i="3"/>
  <c r="D48" i="4"/>
  <c r="D55" i="3"/>
  <c r="D56" i="3" s="1"/>
</calcChain>
</file>

<file path=xl/sharedStrings.xml><?xml version="1.0" encoding="utf-8"?>
<sst xmlns="http://schemas.openxmlformats.org/spreadsheetml/2006/main" count="163" uniqueCount="71">
  <si>
    <t>fecha_ym</t>
  </si>
  <si>
    <t>fecha_ym2</t>
  </si>
  <si>
    <t>num_vinc_new</t>
  </si>
  <si>
    <t>num_vinc_new_cumsum_ym</t>
  </si>
  <si>
    <t>num_vinc_new_uso_cumsum_ym</t>
  </si>
  <si>
    <t>num_vinc_new_prop_uso</t>
  </si>
  <si>
    <t>num_vinc_old</t>
  </si>
  <si>
    <t>num_vinc_old_uso_cumsum_ym</t>
  </si>
  <si>
    <t>num_vinc_old_prop_uso</t>
  </si>
  <si>
    <t>num_vinc_cumsum</t>
  </si>
  <si>
    <t>num_vinc_all_uso_cumsum_ym</t>
  </si>
  <si>
    <t>num_vinc_all_prop_uso</t>
  </si>
  <si>
    <t>2025/11/01</t>
  </si>
  <si>
    <t>2025/10/01</t>
  </si>
  <si>
    <t>2025/09/01</t>
  </si>
  <si>
    <t>2025/08/01</t>
  </si>
  <si>
    <t>2025/07/01</t>
  </si>
  <si>
    <t>2025/06/01</t>
  </si>
  <si>
    <t>2025/05/01</t>
  </si>
  <si>
    <t>2025/04/01</t>
  </si>
  <si>
    <t>2025/03/01</t>
  </si>
  <si>
    <t>2025/02/01</t>
  </si>
  <si>
    <t>2025/01/01</t>
  </si>
  <si>
    <t>2024/12/01</t>
  </si>
  <si>
    <t>2024/11/01</t>
  </si>
  <si>
    <t>2024/10/01</t>
  </si>
  <si>
    <t>2024/09/01</t>
  </si>
  <si>
    <t>2024/08/01</t>
  </si>
  <si>
    <t>2024/07/01</t>
  </si>
  <si>
    <t>2024/06/01</t>
  </si>
  <si>
    <t>2024/05/01</t>
  </si>
  <si>
    <t>2024/04/01</t>
  </si>
  <si>
    <t>2024/03/01</t>
  </si>
  <si>
    <t>2024/02/01</t>
  </si>
  <si>
    <t>2024/01/01</t>
  </si>
  <si>
    <t>2023/12/01</t>
  </si>
  <si>
    <t>2023/11/01</t>
  </si>
  <si>
    <t>2023/10/01</t>
  </si>
  <si>
    <t>2023/09/01</t>
  </si>
  <si>
    <t>2023/08/01</t>
  </si>
  <si>
    <t>2023/07/01</t>
  </si>
  <si>
    <t>2023/06/01</t>
  </si>
  <si>
    <t>2023/05/01</t>
  </si>
  <si>
    <t>2023/04/01</t>
  </si>
  <si>
    <t>2023/03/01</t>
  </si>
  <si>
    <t>2023/02/01</t>
  </si>
  <si>
    <t>2023/01/01</t>
  </si>
  <si>
    <t>2022/12/01</t>
  </si>
  <si>
    <t>2022/11/01</t>
  </si>
  <si>
    <t>2022/10/01</t>
  </si>
  <si>
    <t>2022/09/01</t>
  </si>
  <si>
    <t>2022/08/01</t>
  </si>
  <si>
    <t>2022/07/01</t>
  </si>
  <si>
    <t>2022/06/01</t>
  </si>
  <si>
    <t>2022/05/01</t>
  </si>
  <si>
    <t>2022/04/01</t>
  </si>
  <si>
    <t>2022/03/01</t>
  </si>
  <si>
    <t>2022/02/01</t>
  </si>
  <si>
    <t>2022/01/01</t>
  </si>
  <si>
    <t>Uso 2024</t>
  </si>
  <si>
    <t>Meta Actual</t>
  </si>
  <si>
    <t>Falta</t>
  </si>
  <si>
    <t>Proporción Uso 2027</t>
  </si>
  <si>
    <t>Vinculados 2027</t>
  </si>
  <si>
    <t>Curar desde adquirencia quienes están en otros bancos</t>
  </si>
  <si>
    <t>Meta USO</t>
  </si>
  <si>
    <t>vinculaciones</t>
  </si>
  <si>
    <t>fecha</t>
  </si>
  <si>
    <t>proyección lineal</t>
  </si>
  <si>
    <t>vinculados nuevos</t>
  </si>
  <si>
    <t>proyeccion 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</si>
</sst>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d/mm/yy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41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41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num_vinc_new_cumsum_ym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data!$E$2:$E$48</c:f>
              <c:numCache>
                <c:formatCode>General</c:formatCode>
                <c:ptCount val="47"/>
                <c:pt idx="0">
                  <c:v>3390</c:v>
                </c:pt>
                <c:pt idx="1">
                  <c:v>7794</c:v>
                </c:pt>
                <c:pt idx="2">
                  <c:v>13554</c:v>
                </c:pt>
                <c:pt idx="3">
                  <c:v>18052</c:v>
                </c:pt>
                <c:pt idx="4">
                  <c:v>23363</c:v>
                </c:pt>
                <c:pt idx="5">
                  <c:v>29167</c:v>
                </c:pt>
                <c:pt idx="6">
                  <c:v>34277</c:v>
                </c:pt>
                <c:pt idx="7">
                  <c:v>40580</c:v>
                </c:pt>
                <c:pt idx="8">
                  <c:v>46335</c:v>
                </c:pt>
                <c:pt idx="9">
                  <c:v>52270</c:v>
                </c:pt>
                <c:pt idx="10">
                  <c:v>58064</c:v>
                </c:pt>
                <c:pt idx="11">
                  <c:v>62517</c:v>
                </c:pt>
                <c:pt idx="12">
                  <c:v>4121</c:v>
                </c:pt>
                <c:pt idx="13">
                  <c:v>8834</c:v>
                </c:pt>
                <c:pt idx="14">
                  <c:v>14127</c:v>
                </c:pt>
                <c:pt idx="15">
                  <c:v>18647</c:v>
                </c:pt>
                <c:pt idx="16">
                  <c:v>24300</c:v>
                </c:pt>
                <c:pt idx="17">
                  <c:v>29074</c:v>
                </c:pt>
                <c:pt idx="18">
                  <c:v>35057</c:v>
                </c:pt>
                <c:pt idx="19">
                  <c:v>40622</c:v>
                </c:pt>
                <c:pt idx="20">
                  <c:v>46234</c:v>
                </c:pt>
                <c:pt idx="21">
                  <c:v>51724</c:v>
                </c:pt>
                <c:pt idx="22">
                  <c:v>58110</c:v>
                </c:pt>
                <c:pt idx="23">
                  <c:v>63516</c:v>
                </c:pt>
                <c:pt idx="24">
                  <c:v>4381</c:v>
                </c:pt>
                <c:pt idx="25">
                  <c:v>10245</c:v>
                </c:pt>
                <c:pt idx="26">
                  <c:v>15383</c:v>
                </c:pt>
                <c:pt idx="27">
                  <c:v>20722</c:v>
                </c:pt>
                <c:pt idx="28">
                  <c:v>26108</c:v>
                </c:pt>
                <c:pt idx="29">
                  <c:v>30740</c:v>
                </c:pt>
                <c:pt idx="30">
                  <c:v>36320</c:v>
                </c:pt>
                <c:pt idx="31">
                  <c:v>41560</c:v>
                </c:pt>
                <c:pt idx="32">
                  <c:v>47583</c:v>
                </c:pt>
                <c:pt idx="33">
                  <c:v>53311</c:v>
                </c:pt>
                <c:pt idx="34">
                  <c:v>58532</c:v>
                </c:pt>
                <c:pt idx="35">
                  <c:v>63035</c:v>
                </c:pt>
                <c:pt idx="36">
                  <c:v>4007</c:v>
                </c:pt>
                <c:pt idx="37">
                  <c:v>8303</c:v>
                </c:pt>
                <c:pt idx="38">
                  <c:v>13034</c:v>
                </c:pt>
                <c:pt idx="39">
                  <c:v>18138</c:v>
                </c:pt>
                <c:pt idx="40">
                  <c:v>24475</c:v>
                </c:pt>
                <c:pt idx="41">
                  <c:v>30666</c:v>
                </c:pt>
                <c:pt idx="42">
                  <c:v>38542</c:v>
                </c:pt>
                <c:pt idx="43">
                  <c:v>49163</c:v>
                </c:pt>
                <c:pt idx="44">
                  <c:v>67518</c:v>
                </c:pt>
                <c:pt idx="45">
                  <c:v>83698</c:v>
                </c:pt>
                <c:pt idx="46">
                  <c:v>98681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F-F646-B60F-E786ED7ED736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num_vinc_old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data!$H$2:$H$48</c:f>
              <c:numCache>
                <c:formatCode>General</c:formatCode>
                <c:ptCount val="47"/>
                <c:pt idx="0">
                  <c:v>120599</c:v>
                </c:pt>
                <c:pt idx="1">
                  <c:v>120599</c:v>
                </c:pt>
                <c:pt idx="2">
                  <c:v>120599</c:v>
                </c:pt>
                <c:pt idx="3">
                  <c:v>120599</c:v>
                </c:pt>
                <c:pt idx="4">
                  <c:v>120599</c:v>
                </c:pt>
                <c:pt idx="5">
                  <c:v>120599</c:v>
                </c:pt>
                <c:pt idx="6">
                  <c:v>120599</c:v>
                </c:pt>
                <c:pt idx="7">
                  <c:v>120599</c:v>
                </c:pt>
                <c:pt idx="8">
                  <c:v>120599</c:v>
                </c:pt>
                <c:pt idx="9">
                  <c:v>120599</c:v>
                </c:pt>
                <c:pt idx="10">
                  <c:v>120599</c:v>
                </c:pt>
                <c:pt idx="11">
                  <c:v>120599</c:v>
                </c:pt>
                <c:pt idx="12">
                  <c:v>183116</c:v>
                </c:pt>
                <c:pt idx="13">
                  <c:v>183116</c:v>
                </c:pt>
                <c:pt idx="14">
                  <c:v>183116</c:v>
                </c:pt>
                <c:pt idx="15">
                  <c:v>183116</c:v>
                </c:pt>
                <c:pt idx="16">
                  <c:v>183116</c:v>
                </c:pt>
                <c:pt idx="17">
                  <c:v>183116</c:v>
                </c:pt>
                <c:pt idx="18">
                  <c:v>183116</c:v>
                </c:pt>
                <c:pt idx="19">
                  <c:v>183116</c:v>
                </c:pt>
                <c:pt idx="20">
                  <c:v>183116</c:v>
                </c:pt>
                <c:pt idx="21">
                  <c:v>183116</c:v>
                </c:pt>
                <c:pt idx="22">
                  <c:v>183116</c:v>
                </c:pt>
                <c:pt idx="23">
                  <c:v>183116</c:v>
                </c:pt>
                <c:pt idx="24">
                  <c:v>246632</c:v>
                </c:pt>
                <c:pt idx="25">
                  <c:v>246632</c:v>
                </c:pt>
                <c:pt idx="26">
                  <c:v>246632</c:v>
                </c:pt>
                <c:pt idx="27">
                  <c:v>246632</c:v>
                </c:pt>
                <c:pt idx="28">
                  <c:v>246632</c:v>
                </c:pt>
                <c:pt idx="29">
                  <c:v>246632</c:v>
                </c:pt>
                <c:pt idx="30">
                  <c:v>246632</c:v>
                </c:pt>
                <c:pt idx="31">
                  <c:v>246632</c:v>
                </c:pt>
                <c:pt idx="32">
                  <c:v>246632</c:v>
                </c:pt>
                <c:pt idx="33">
                  <c:v>246632</c:v>
                </c:pt>
                <c:pt idx="34">
                  <c:v>246632</c:v>
                </c:pt>
                <c:pt idx="35">
                  <c:v>246632</c:v>
                </c:pt>
                <c:pt idx="36">
                  <c:v>309667</c:v>
                </c:pt>
                <c:pt idx="37">
                  <c:v>309667</c:v>
                </c:pt>
                <c:pt idx="38">
                  <c:v>309667</c:v>
                </c:pt>
                <c:pt idx="39">
                  <c:v>309667</c:v>
                </c:pt>
                <c:pt idx="40">
                  <c:v>309667</c:v>
                </c:pt>
                <c:pt idx="41">
                  <c:v>309667</c:v>
                </c:pt>
                <c:pt idx="42">
                  <c:v>309667</c:v>
                </c:pt>
                <c:pt idx="43">
                  <c:v>309667</c:v>
                </c:pt>
                <c:pt idx="44">
                  <c:v>309667</c:v>
                </c:pt>
                <c:pt idx="45">
                  <c:v>309667</c:v>
                </c:pt>
                <c:pt idx="46">
                  <c:v>309667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F-F646-B60F-E786ED7ED736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num_vinc_cumsum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data!$K$2:$K$48</c:f>
              <c:numCache>
                <c:formatCode>General</c:formatCode>
                <c:ptCount val="47"/>
                <c:pt idx="0">
                  <c:v>123989</c:v>
                </c:pt>
                <c:pt idx="1">
                  <c:v>128393</c:v>
                </c:pt>
                <c:pt idx="2">
                  <c:v>134153</c:v>
                </c:pt>
                <c:pt idx="3">
                  <c:v>138651</c:v>
                </c:pt>
                <c:pt idx="4">
                  <c:v>143962</c:v>
                </c:pt>
                <c:pt idx="5">
                  <c:v>149766</c:v>
                </c:pt>
                <c:pt idx="6">
                  <c:v>154876</c:v>
                </c:pt>
                <c:pt idx="7">
                  <c:v>161179</c:v>
                </c:pt>
                <c:pt idx="8">
                  <c:v>166934</c:v>
                </c:pt>
                <c:pt idx="9">
                  <c:v>172869</c:v>
                </c:pt>
                <c:pt idx="10">
                  <c:v>178663</c:v>
                </c:pt>
                <c:pt idx="11">
                  <c:v>183116</c:v>
                </c:pt>
                <c:pt idx="12">
                  <c:v>187237</c:v>
                </c:pt>
                <c:pt idx="13">
                  <c:v>191950</c:v>
                </c:pt>
                <c:pt idx="14">
                  <c:v>197243</c:v>
                </c:pt>
                <c:pt idx="15">
                  <c:v>201763</c:v>
                </c:pt>
                <c:pt idx="16">
                  <c:v>207416</c:v>
                </c:pt>
                <c:pt idx="17">
                  <c:v>212190</c:v>
                </c:pt>
                <c:pt idx="18">
                  <c:v>218173</c:v>
                </c:pt>
                <c:pt idx="19">
                  <c:v>223738</c:v>
                </c:pt>
                <c:pt idx="20">
                  <c:v>229350</c:v>
                </c:pt>
                <c:pt idx="21">
                  <c:v>234840</c:v>
                </c:pt>
                <c:pt idx="22">
                  <c:v>241226</c:v>
                </c:pt>
                <c:pt idx="23">
                  <c:v>246632</c:v>
                </c:pt>
                <c:pt idx="24">
                  <c:v>251013</c:v>
                </c:pt>
                <c:pt idx="25">
                  <c:v>256877</c:v>
                </c:pt>
                <c:pt idx="26">
                  <c:v>262015</c:v>
                </c:pt>
                <c:pt idx="27">
                  <c:v>267354</c:v>
                </c:pt>
                <c:pt idx="28">
                  <c:v>272740</c:v>
                </c:pt>
                <c:pt idx="29">
                  <c:v>277372</c:v>
                </c:pt>
                <c:pt idx="30">
                  <c:v>282952</c:v>
                </c:pt>
                <c:pt idx="31">
                  <c:v>288192</c:v>
                </c:pt>
                <c:pt idx="32">
                  <c:v>294215</c:v>
                </c:pt>
                <c:pt idx="33">
                  <c:v>299943</c:v>
                </c:pt>
                <c:pt idx="34">
                  <c:v>305164</c:v>
                </c:pt>
                <c:pt idx="35">
                  <c:v>309667</c:v>
                </c:pt>
                <c:pt idx="36">
                  <c:v>313674</c:v>
                </c:pt>
                <c:pt idx="37">
                  <c:v>317970</c:v>
                </c:pt>
                <c:pt idx="38">
                  <c:v>322701</c:v>
                </c:pt>
                <c:pt idx="39">
                  <c:v>327805</c:v>
                </c:pt>
                <c:pt idx="40">
                  <c:v>334142</c:v>
                </c:pt>
                <c:pt idx="41">
                  <c:v>340333</c:v>
                </c:pt>
                <c:pt idx="42">
                  <c:v>348209</c:v>
                </c:pt>
                <c:pt idx="43">
                  <c:v>358830</c:v>
                </c:pt>
                <c:pt idx="44">
                  <c:v>377185</c:v>
                </c:pt>
                <c:pt idx="45">
                  <c:v>393365</c:v>
                </c:pt>
                <c:pt idx="46">
                  <c:v>408348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F-F646-B60F-E786ED7E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674432"/>
        <c:axId val="964678016"/>
      </c:lineChart>
      <c:catAx>
        <c:axId val="96467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4678016"/>
        <c:crosses val="autoZero"/>
        <c:auto val="1"/>
        <c:lblAlgn val="ctr"/>
        <c:lblOffset val="100"/>
        <c:noMultiLvlLbl val="0"/>
      </c:catAx>
      <c:valAx>
        <c:axId val="9646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467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Uso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num_vinc_new_uso_cumsum_ym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data!$F$2:$F$48</c:f>
              <c:numCache>
                <c:formatCode>General</c:formatCode>
                <c:ptCount val="47"/>
                <c:pt idx="0">
                  <c:v>1778</c:v>
                </c:pt>
                <c:pt idx="1">
                  <c:v>4978</c:v>
                </c:pt>
                <c:pt idx="2">
                  <c:v>9245</c:v>
                </c:pt>
                <c:pt idx="3">
                  <c:v>12985</c:v>
                </c:pt>
                <c:pt idx="4">
                  <c:v>16995</c:v>
                </c:pt>
                <c:pt idx="5">
                  <c:v>21596</c:v>
                </c:pt>
                <c:pt idx="6">
                  <c:v>25640</c:v>
                </c:pt>
                <c:pt idx="7">
                  <c:v>30401</c:v>
                </c:pt>
                <c:pt idx="8">
                  <c:v>35168</c:v>
                </c:pt>
                <c:pt idx="9">
                  <c:v>39844</c:v>
                </c:pt>
                <c:pt idx="10">
                  <c:v>44504</c:v>
                </c:pt>
                <c:pt idx="11">
                  <c:v>48563</c:v>
                </c:pt>
                <c:pt idx="12">
                  <c:v>2201</c:v>
                </c:pt>
                <c:pt idx="13">
                  <c:v>5587</c:v>
                </c:pt>
                <c:pt idx="14">
                  <c:v>9541</c:v>
                </c:pt>
                <c:pt idx="15">
                  <c:v>12954</c:v>
                </c:pt>
                <c:pt idx="16">
                  <c:v>16902</c:v>
                </c:pt>
                <c:pt idx="17">
                  <c:v>21000</c:v>
                </c:pt>
                <c:pt idx="18">
                  <c:v>25249</c:v>
                </c:pt>
                <c:pt idx="19">
                  <c:v>29574</c:v>
                </c:pt>
                <c:pt idx="20">
                  <c:v>33812</c:v>
                </c:pt>
                <c:pt idx="21">
                  <c:v>37489</c:v>
                </c:pt>
                <c:pt idx="22">
                  <c:v>42216</c:v>
                </c:pt>
                <c:pt idx="23">
                  <c:v>46615</c:v>
                </c:pt>
                <c:pt idx="24">
                  <c:v>2221</c:v>
                </c:pt>
                <c:pt idx="25">
                  <c:v>5779</c:v>
                </c:pt>
                <c:pt idx="26">
                  <c:v>9282</c:v>
                </c:pt>
                <c:pt idx="27">
                  <c:v>12131</c:v>
                </c:pt>
                <c:pt idx="28">
                  <c:v>15160</c:v>
                </c:pt>
                <c:pt idx="29">
                  <c:v>17724</c:v>
                </c:pt>
                <c:pt idx="30">
                  <c:v>20987</c:v>
                </c:pt>
                <c:pt idx="31">
                  <c:v>24050</c:v>
                </c:pt>
                <c:pt idx="32">
                  <c:v>27744</c:v>
                </c:pt>
                <c:pt idx="33">
                  <c:v>31092</c:v>
                </c:pt>
                <c:pt idx="34">
                  <c:v>34340</c:v>
                </c:pt>
                <c:pt idx="35">
                  <c:v>37912</c:v>
                </c:pt>
                <c:pt idx="36">
                  <c:v>1532</c:v>
                </c:pt>
                <c:pt idx="37">
                  <c:v>3760</c:v>
                </c:pt>
                <c:pt idx="38">
                  <c:v>6196</c:v>
                </c:pt>
                <c:pt idx="39">
                  <c:v>9031</c:v>
                </c:pt>
                <c:pt idx="40">
                  <c:v>12327</c:v>
                </c:pt>
                <c:pt idx="41">
                  <c:v>15268</c:v>
                </c:pt>
                <c:pt idx="42">
                  <c:v>18936</c:v>
                </c:pt>
                <c:pt idx="43">
                  <c:v>22995</c:v>
                </c:pt>
                <c:pt idx="44">
                  <c:v>27900</c:v>
                </c:pt>
                <c:pt idx="45">
                  <c:v>32665</c:v>
                </c:pt>
                <c:pt idx="46">
                  <c:v>37253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4-224C-86B4-2FD142989B37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num_vinc_old_uso_cumsum_ym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data!$I$2:$I$48</c:f>
              <c:numCache>
                <c:formatCode>General</c:formatCode>
                <c:ptCount val="47"/>
                <c:pt idx="0">
                  <c:v>50901</c:v>
                </c:pt>
                <c:pt idx="1">
                  <c:v>54729</c:v>
                </c:pt>
                <c:pt idx="2">
                  <c:v>56949</c:v>
                </c:pt>
                <c:pt idx="3">
                  <c:v>58226</c:v>
                </c:pt>
                <c:pt idx="4">
                  <c:v>59244</c:v>
                </c:pt>
                <c:pt idx="5">
                  <c:v>60009</c:v>
                </c:pt>
                <c:pt idx="6">
                  <c:v>60538</c:v>
                </c:pt>
                <c:pt idx="7">
                  <c:v>61020</c:v>
                </c:pt>
                <c:pt idx="8">
                  <c:v>61437</c:v>
                </c:pt>
                <c:pt idx="9">
                  <c:v>61790</c:v>
                </c:pt>
                <c:pt idx="10">
                  <c:v>62156</c:v>
                </c:pt>
                <c:pt idx="11">
                  <c:v>62456</c:v>
                </c:pt>
                <c:pt idx="12">
                  <c:v>67875</c:v>
                </c:pt>
                <c:pt idx="13">
                  <c:v>72328</c:v>
                </c:pt>
                <c:pt idx="14">
                  <c:v>74923</c:v>
                </c:pt>
                <c:pt idx="15">
                  <c:v>76566</c:v>
                </c:pt>
                <c:pt idx="16">
                  <c:v>77767</c:v>
                </c:pt>
                <c:pt idx="17">
                  <c:v>78729</c:v>
                </c:pt>
                <c:pt idx="18">
                  <c:v>79564</c:v>
                </c:pt>
                <c:pt idx="19">
                  <c:v>80267</c:v>
                </c:pt>
                <c:pt idx="20">
                  <c:v>80811</c:v>
                </c:pt>
                <c:pt idx="21">
                  <c:v>81276</c:v>
                </c:pt>
                <c:pt idx="22">
                  <c:v>81695</c:v>
                </c:pt>
                <c:pt idx="23">
                  <c:v>82060</c:v>
                </c:pt>
                <c:pt idx="24">
                  <c:v>77206</c:v>
                </c:pt>
                <c:pt idx="25">
                  <c:v>82730</c:v>
                </c:pt>
                <c:pt idx="26">
                  <c:v>85515</c:v>
                </c:pt>
                <c:pt idx="27">
                  <c:v>87489</c:v>
                </c:pt>
                <c:pt idx="28">
                  <c:v>88979</c:v>
                </c:pt>
                <c:pt idx="29">
                  <c:v>90017</c:v>
                </c:pt>
                <c:pt idx="30">
                  <c:v>90968</c:v>
                </c:pt>
                <c:pt idx="31">
                  <c:v>91732</c:v>
                </c:pt>
                <c:pt idx="32">
                  <c:v>92347</c:v>
                </c:pt>
                <c:pt idx="33">
                  <c:v>92930</c:v>
                </c:pt>
                <c:pt idx="34">
                  <c:v>93436</c:v>
                </c:pt>
                <c:pt idx="35">
                  <c:v>93859</c:v>
                </c:pt>
                <c:pt idx="36">
                  <c:v>79147</c:v>
                </c:pt>
                <c:pt idx="37">
                  <c:v>84511</c:v>
                </c:pt>
                <c:pt idx="38">
                  <c:v>87526</c:v>
                </c:pt>
                <c:pt idx="39">
                  <c:v>89479</c:v>
                </c:pt>
                <c:pt idx="40">
                  <c:v>91225</c:v>
                </c:pt>
                <c:pt idx="41">
                  <c:v>92331</c:v>
                </c:pt>
                <c:pt idx="42">
                  <c:v>93317</c:v>
                </c:pt>
                <c:pt idx="43">
                  <c:v>94168</c:v>
                </c:pt>
                <c:pt idx="44">
                  <c:v>94927</c:v>
                </c:pt>
                <c:pt idx="45">
                  <c:v>95557</c:v>
                </c:pt>
                <c:pt idx="46">
                  <c:v>96086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4-224C-86B4-2FD142989B37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num_vinc_all_uso_cumsum_ym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data!$L$2:$L$48</c:f>
              <c:numCache>
                <c:formatCode>General</c:formatCode>
                <c:ptCount val="47"/>
                <c:pt idx="0">
                  <c:v>52679</c:v>
                </c:pt>
                <c:pt idx="1">
                  <c:v>59707</c:v>
                </c:pt>
                <c:pt idx="2">
                  <c:v>66194</c:v>
                </c:pt>
                <c:pt idx="3">
                  <c:v>71211</c:v>
                </c:pt>
                <c:pt idx="4">
                  <c:v>76239</c:v>
                </c:pt>
                <c:pt idx="5">
                  <c:v>81605</c:v>
                </c:pt>
                <c:pt idx="6">
                  <c:v>86178</c:v>
                </c:pt>
                <c:pt idx="7">
                  <c:v>91421</c:v>
                </c:pt>
                <c:pt idx="8">
                  <c:v>96605</c:v>
                </c:pt>
                <c:pt idx="9">
                  <c:v>101634</c:v>
                </c:pt>
                <c:pt idx="10">
                  <c:v>106660</c:v>
                </c:pt>
                <c:pt idx="11">
                  <c:v>111019</c:v>
                </c:pt>
                <c:pt idx="12">
                  <c:v>70076</c:v>
                </c:pt>
                <c:pt idx="13">
                  <c:v>77915</c:v>
                </c:pt>
                <c:pt idx="14">
                  <c:v>84464</c:v>
                </c:pt>
                <c:pt idx="15">
                  <c:v>89520</c:v>
                </c:pt>
                <c:pt idx="16">
                  <c:v>94669</c:v>
                </c:pt>
                <c:pt idx="17">
                  <c:v>99729</c:v>
                </c:pt>
                <c:pt idx="18">
                  <c:v>104813</c:v>
                </c:pt>
                <c:pt idx="19">
                  <c:v>109841</c:v>
                </c:pt>
                <c:pt idx="20">
                  <c:v>114623</c:v>
                </c:pt>
                <c:pt idx="21">
                  <c:v>119016</c:v>
                </c:pt>
                <c:pt idx="22">
                  <c:v>123911</c:v>
                </c:pt>
                <c:pt idx="23">
                  <c:v>128675</c:v>
                </c:pt>
                <c:pt idx="24">
                  <c:v>79427</c:v>
                </c:pt>
                <c:pt idx="25">
                  <c:v>88509</c:v>
                </c:pt>
                <c:pt idx="26">
                  <c:v>94797</c:v>
                </c:pt>
                <c:pt idx="27">
                  <c:v>99620</c:v>
                </c:pt>
                <c:pt idx="28">
                  <c:v>104139</c:v>
                </c:pt>
                <c:pt idx="29">
                  <c:v>107741</c:v>
                </c:pt>
                <c:pt idx="30">
                  <c:v>111955</c:v>
                </c:pt>
                <c:pt idx="31">
                  <c:v>115782</c:v>
                </c:pt>
                <c:pt idx="32">
                  <c:v>119348</c:v>
                </c:pt>
                <c:pt idx="33">
                  <c:v>124022</c:v>
                </c:pt>
                <c:pt idx="34">
                  <c:v>127965</c:v>
                </c:pt>
                <c:pt idx="35">
                  <c:v>131771</c:v>
                </c:pt>
                <c:pt idx="36">
                  <c:v>80679</c:v>
                </c:pt>
                <c:pt idx="37">
                  <c:v>88271</c:v>
                </c:pt>
                <c:pt idx="38">
                  <c:v>93722</c:v>
                </c:pt>
                <c:pt idx="39">
                  <c:v>98510</c:v>
                </c:pt>
                <c:pt idx="40">
                  <c:v>103552</c:v>
                </c:pt>
                <c:pt idx="41">
                  <c:v>107599</c:v>
                </c:pt>
                <c:pt idx="42">
                  <c:v>112253</c:v>
                </c:pt>
                <c:pt idx="43">
                  <c:v>117163</c:v>
                </c:pt>
                <c:pt idx="44">
                  <c:v>122827</c:v>
                </c:pt>
                <c:pt idx="45">
                  <c:v>128222</c:v>
                </c:pt>
                <c:pt idx="46">
                  <c:v>133339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4-224C-86B4-2FD14298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106240"/>
        <c:axId val="1440105792"/>
      </c:lineChart>
      <c:catAx>
        <c:axId val="14401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105792"/>
        <c:crosses val="autoZero"/>
        <c:auto val="1"/>
        <c:lblAlgn val="ctr"/>
        <c:lblOffset val="100"/>
        <c:noMultiLvlLbl val="0"/>
      </c:catAx>
      <c:valAx>
        <c:axId val="14401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1062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Proporción Uso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0976580012502447E-2"/>
          <c:y val="8.9360547606927396E-2"/>
          <c:w val="0.96828375502781483"/>
          <c:h val="0.84779148479892563"/>
        </c:manualLayout>
      </c:layout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num_vinc_new_prop_uso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data!$G$2:$G$48</c:f>
              <c:numCache>
                <c:formatCode>General</c:formatCode>
                <c:ptCount val="47"/>
                <c:pt idx="0">
                  <c:v>0.52449999999999997</c:v>
                </c:pt>
                <c:pt idx="1">
                  <c:v>0.63870000000000005</c:v>
                </c:pt>
                <c:pt idx="2">
                  <c:v>0.68210000000000004</c:v>
                </c:pt>
                <c:pt idx="3">
                  <c:v>0.71930000000000005</c:v>
                </c:pt>
                <c:pt idx="4">
                  <c:v>0.72740000000000005</c:v>
                </c:pt>
                <c:pt idx="5">
                  <c:v>0.74039999999999995</c:v>
                </c:pt>
                <c:pt idx="6">
                  <c:v>0.748</c:v>
                </c:pt>
                <c:pt idx="7">
                  <c:v>0.74919999999999998</c:v>
                </c:pt>
                <c:pt idx="8">
                  <c:v>0.75900000000000001</c:v>
                </c:pt>
                <c:pt idx="9">
                  <c:v>0.76229999999999998</c:v>
                </c:pt>
                <c:pt idx="10">
                  <c:v>0.76649999999999996</c:v>
                </c:pt>
                <c:pt idx="11">
                  <c:v>0.77680000000000005</c:v>
                </c:pt>
                <c:pt idx="12">
                  <c:v>0.53410000000000002</c:v>
                </c:pt>
                <c:pt idx="13">
                  <c:v>0.63239999999999996</c:v>
                </c:pt>
                <c:pt idx="14">
                  <c:v>0.6754</c:v>
                </c:pt>
                <c:pt idx="15">
                  <c:v>0.69469999999999998</c:v>
                </c:pt>
                <c:pt idx="16">
                  <c:v>0.6956</c:v>
                </c:pt>
                <c:pt idx="17">
                  <c:v>0.72230000000000005</c:v>
                </c:pt>
                <c:pt idx="18">
                  <c:v>0.72019999999999995</c:v>
                </c:pt>
                <c:pt idx="19">
                  <c:v>0.72799999999999998</c:v>
                </c:pt>
                <c:pt idx="20">
                  <c:v>0.73129999999999995</c:v>
                </c:pt>
                <c:pt idx="21">
                  <c:v>0.7248</c:v>
                </c:pt>
                <c:pt idx="22">
                  <c:v>0.72650000000000003</c:v>
                </c:pt>
                <c:pt idx="23">
                  <c:v>0.7339</c:v>
                </c:pt>
                <c:pt idx="24">
                  <c:v>0.50700000000000001</c:v>
                </c:pt>
                <c:pt idx="25">
                  <c:v>0.56410000000000005</c:v>
                </c:pt>
                <c:pt idx="26">
                  <c:v>0.60340000000000005</c:v>
                </c:pt>
                <c:pt idx="27">
                  <c:v>0.58540000000000003</c:v>
                </c:pt>
                <c:pt idx="28">
                  <c:v>0.58069999999999999</c:v>
                </c:pt>
                <c:pt idx="29">
                  <c:v>0.5766</c:v>
                </c:pt>
                <c:pt idx="30">
                  <c:v>0.57779999999999998</c:v>
                </c:pt>
                <c:pt idx="31">
                  <c:v>0.57869999999999999</c:v>
                </c:pt>
                <c:pt idx="32">
                  <c:v>0.58309999999999995</c:v>
                </c:pt>
                <c:pt idx="33">
                  <c:v>0.58320000000000005</c:v>
                </c:pt>
                <c:pt idx="34">
                  <c:v>0.5867</c:v>
                </c:pt>
                <c:pt idx="35">
                  <c:v>0.60140000000000005</c:v>
                </c:pt>
                <c:pt idx="36">
                  <c:v>0.38229999999999997</c:v>
                </c:pt>
                <c:pt idx="37">
                  <c:v>0.45279999999999998</c:v>
                </c:pt>
                <c:pt idx="38">
                  <c:v>0.47539999999999999</c:v>
                </c:pt>
                <c:pt idx="39">
                  <c:v>0.49790000000000001</c:v>
                </c:pt>
                <c:pt idx="40">
                  <c:v>0.50370000000000004</c:v>
                </c:pt>
                <c:pt idx="41">
                  <c:v>0.49790000000000001</c:v>
                </c:pt>
                <c:pt idx="42">
                  <c:v>0.49130000000000001</c:v>
                </c:pt>
                <c:pt idx="43">
                  <c:v>0.4677</c:v>
                </c:pt>
                <c:pt idx="44">
                  <c:v>0.41320000000000001</c:v>
                </c:pt>
                <c:pt idx="45">
                  <c:v>0.39029999999999998</c:v>
                </c:pt>
                <c:pt idx="46">
                  <c:v>0.3775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1-6E4C-9E7D-AD0B09DDE09E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num_vinc_old_prop_uso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data!$J$2:$J$48</c:f>
              <c:numCache>
                <c:formatCode>General</c:formatCode>
                <c:ptCount val="47"/>
                <c:pt idx="0">
                  <c:v>0.42209999999999998</c:v>
                </c:pt>
                <c:pt idx="1">
                  <c:v>0.45379999999999998</c:v>
                </c:pt>
                <c:pt idx="2">
                  <c:v>0.47220000000000001</c:v>
                </c:pt>
                <c:pt idx="3">
                  <c:v>0.48280000000000001</c:v>
                </c:pt>
                <c:pt idx="4">
                  <c:v>0.49120000000000003</c:v>
                </c:pt>
                <c:pt idx="5">
                  <c:v>0.49759999999999999</c:v>
                </c:pt>
                <c:pt idx="6">
                  <c:v>0.502</c:v>
                </c:pt>
                <c:pt idx="7">
                  <c:v>0.50600000000000001</c:v>
                </c:pt>
                <c:pt idx="8">
                  <c:v>0.50939999999999996</c:v>
                </c:pt>
                <c:pt idx="9">
                  <c:v>0.51239999999999997</c:v>
                </c:pt>
                <c:pt idx="10">
                  <c:v>0.51539999999999997</c:v>
                </c:pt>
                <c:pt idx="11">
                  <c:v>0.51790000000000003</c:v>
                </c:pt>
                <c:pt idx="12">
                  <c:v>0.37069999999999997</c:v>
                </c:pt>
                <c:pt idx="13">
                  <c:v>0.39500000000000002</c:v>
                </c:pt>
                <c:pt idx="14">
                  <c:v>0.40920000000000001</c:v>
                </c:pt>
                <c:pt idx="15">
                  <c:v>0.41810000000000003</c:v>
                </c:pt>
                <c:pt idx="16">
                  <c:v>0.42470000000000002</c:v>
                </c:pt>
                <c:pt idx="17">
                  <c:v>0.4299</c:v>
                </c:pt>
                <c:pt idx="18">
                  <c:v>0.4345</c:v>
                </c:pt>
                <c:pt idx="19">
                  <c:v>0.43830000000000002</c:v>
                </c:pt>
                <c:pt idx="20">
                  <c:v>0.44130000000000003</c:v>
                </c:pt>
                <c:pt idx="21">
                  <c:v>0.44379999999999997</c:v>
                </c:pt>
                <c:pt idx="22">
                  <c:v>0.4461</c:v>
                </c:pt>
                <c:pt idx="23">
                  <c:v>0.4481</c:v>
                </c:pt>
                <c:pt idx="24">
                  <c:v>0.313</c:v>
                </c:pt>
                <c:pt idx="25">
                  <c:v>0.33539999999999998</c:v>
                </c:pt>
                <c:pt idx="26">
                  <c:v>0.34670000000000001</c:v>
                </c:pt>
                <c:pt idx="27">
                  <c:v>0.35470000000000002</c:v>
                </c:pt>
                <c:pt idx="28">
                  <c:v>0.36080000000000001</c:v>
                </c:pt>
                <c:pt idx="29">
                  <c:v>0.36499999999999999</c:v>
                </c:pt>
                <c:pt idx="30">
                  <c:v>0.36880000000000002</c:v>
                </c:pt>
                <c:pt idx="31">
                  <c:v>0.37190000000000001</c:v>
                </c:pt>
                <c:pt idx="32">
                  <c:v>0.37440000000000001</c:v>
                </c:pt>
                <c:pt idx="33">
                  <c:v>0.37680000000000002</c:v>
                </c:pt>
                <c:pt idx="34">
                  <c:v>0.37880000000000003</c:v>
                </c:pt>
                <c:pt idx="35">
                  <c:v>0.38059999999999999</c:v>
                </c:pt>
                <c:pt idx="36">
                  <c:v>0.25559999999999999</c:v>
                </c:pt>
                <c:pt idx="37">
                  <c:v>0.27289999999999998</c:v>
                </c:pt>
                <c:pt idx="38">
                  <c:v>0.28260000000000002</c:v>
                </c:pt>
                <c:pt idx="39">
                  <c:v>0.28899999999999998</c:v>
                </c:pt>
                <c:pt idx="40">
                  <c:v>0.29459999999999997</c:v>
                </c:pt>
                <c:pt idx="41">
                  <c:v>0.29820000000000002</c:v>
                </c:pt>
                <c:pt idx="42">
                  <c:v>0.30130000000000001</c:v>
                </c:pt>
                <c:pt idx="43">
                  <c:v>0.30409999999999998</c:v>
                </c:pt>
                <c:pt idx="44">
                  <c:v>0.30649999999999999</c:v>
                </c:pt>
                <c:pt idx="45">
                  <c:v>0.30859999999999999</c:v>
                </c:pt>
                <c:pt idx="46">
                  <c:v>0.31030000000000002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1-6E4C-9E7D-AD0B09DDE09E}"/>
            </c:ext>
          </c:extLst>
        </c:ser>
        <c:ser>
          <c:idx val="2"/>
          <c:order val="2"/>
          <c:tx>
            <c:strRef>
              <c:f>data!$M$1</c:f>
              <c:strCache>
                <c:ptCount val="1"/>
                <c:pt idx="0">
                  <c:v>num_vinc_all_prop_uso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data!$C$2:$C$48</c:f>
              <c:strCache>
                <c:ptCount val="47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2025/09/01</c:v>
                </c:pt>
                <c:pt idx="45">
                  <c:v>2025/10/01</c:v>
                </c:pt>
                <c:pt idx="46">
                  <c:v>2025/11/01</c:v>
                </c:pt>
              </c:strCache>
            </c:strRef>
          </c:cat>
          <c:val>
            <c:numRef>
              <c:f>data!$M$2:$M$48</c:f>
              <c:numCache>
                <c:formatCode>General</c:formatCode>
                <c:ptCount val="47"/>
                <c:pt idx="0">
                  <c:v>0.4249</c:v>
                </c:pt>
                <c:pt idx="1">
                  <c:v>0.46500000000000002</c:v>
                </c:pt>
                <c:pt idx="2">
                  <c:v>0.49340000000000001</c:v>
                </c:pt>
                <c:pt idx="3">
                  <c:v>0.51359999999999995</c:v>
                </c:pt>
                <c:pt idx="4">
                  <c:v>0.52959999999999996</c:v>
                </c:pt>
                <c:pt idx="5">
                  <c:v>0.54490000000000005</c:v>
                </c:pt>
                <c:pt idx="6">
                  <c:v>0.55640000000000001</c:v>
                </c:pt>
                <c:pt idx="7">
                  <c:v>0.56720000000000004</c:v>
                </c:pt>
                <c:pt idx="8">
                  <c:v>0.57869999999999999</c:v>
                </c:pt>
                <c:pt idx="9">
                  <c:v>0.58789999999999998</c:v>
                </c:pt>
                <c:pt idx="10">
                  <c:v>0.59699999999999998</c:v>
                </c:pt>
                <c:pt idx="11">
                  <c:v>0.60629999999999995</c:v>
                </c:pt>
                <c:pt idx="12">
                  <c:v>0.37430000000000002</c:v>
                </c:pt>
                <c:pt idx="13">
                  <c:v>0.40589999999999998</c:v>
                </c:pt>
                <c:pt idx="14">
                  <c:v>0.42820000000000003</c:v>
                </c:pt>
                <c:pt idx="15">
                  <c:v>0.44369999999999998</c:v>
                </c:pt>
                <c:pt idx="16">
                  <c:v>0.45639999999999997</c:v>
                </c:pt>
                <c:pt idx="17">
                  <c:v>0.47</c:v>
                </c:pt>
                <c:pt idx="18">
                  <c:v>0.48039999999999999</c:v>
                </c:pt>
                <c:pt idx="19">
                  <c:v>0.4909</c:v>
                </c:pt>
                <c:pt idx="20">
                  <c:v>0.49980000000000002</c:v>
                </c:pt>
                <c:pt idx="21">
                  <c:v>0.50680000000000003</c:v>
                </c:pt>
                <c:pt idx="22">
                  <c:v>0.51370000000000005</c:v>
                </c:pt>
                <c:pt idx="23">
                  <c:v>0.52170000000000005</c:v>
                </c:pt>
                <c:pt idx="24">
                  <c:v>0.31640000000000001</c:v>
                </c:pt>
                <c:pt idx="25">
                  <c:v>0.34460000000000002</c:v>
                </c:pt>
                <c:pt idx="26">
                  <c:v>0.36180000000000001</c:v>
                </c:pt>
                <c:pt idx="27">
                  <c:v>0.37259999999999999</c:v>
                </c:pt>
                <c:pt idx="28">
                  <c:v>0.38179999999999997</c:v>
                </c:pt>
                <c:pt idx="29">
                  <c:v>0.38840000000000002</c:v>
                </c:pt>
                <c:pt idx="30">
                  <c:v>0.3957</c:v>
                </c:pt>
                <c:pt idx="31">
                  <c:v>0.40179999999999999</c:v>
                </c:pt>
                <c:pt idx="32">
                  <c:v>0.40560000000000002</c:v>
                </c:pt>
                <c:pt idx="33">
                  <c:v>0.41349999999999998</c:v>
                </c:pt>
                <c:pt idx="34">
                  <c:v>0.41930000000000001</c:v>
                </c:pt>
                <c:pt idx="35">
                  <c:v>0.42549999999999999</c:v>
                </c:pt>
                <c:pt idx="36">
                  <c:v>0.25719999999999998</c:v>
                </c:pt>
                <c:pt idx="37">
                  <c:v>0.27760000000000001</c:v>
                </c:pt>
                <c:pt idx="38">
                  <c:v>0.29039999999999999</c:v>
                </c:pt>
                <c:pt idx="39">
                  <c:v>0.30049999999999999</c:v>
                </c:pt>
                <c:pt idx="40">
                  <c:v>0.30990000000000001</c:v>
                </c:pt>
                <c:pt idx="41">
                  <c:v>0.31619999999999998</c:v>
                </c:pt>
                <c:pt idx="42">
                  <c:v>0.32240000000000002</c:v>
                </c:pt>
                <c:pt idx="43">
                  <c:v>0.32650000000000001</c:v>
                </c:pt>
                <c:pt idx="44">
                  <c:v>0.3256</c:v>
                </c:pt>
                <c:pt idx="45">
                  <c:v>0.32600000000000001</c:v>
                </c:pt>
                <c:pt idx="46">
                  <c:v>0.32650000000000001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1-6E4C-9E7D-AD0B09DD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572352"/>
        <c:axId val="1488575936"/>
      </c:lineChart>
      <c:catAx>
        <c:axId val="14885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8575936"/>
        <c:crosses val="autoZero"/>
        <c:auto val="1"/>
        <c:lblAlgn val="ctr"/>
        <c:lblOffset val="100"/>
        <c:noMultiLvlLbl val="0"/>
      </c:catAx>
      <c:valAx>
        <c:axId val="14885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85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'proyecciones vinculaciones'!$B$1</c:f>
              <c:strCache>
                <c:ptCount val="1"/>
                <c:pt idx="0">
                  <c:v>vinculaciones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'proyecciones vinculaciones'!$A$2:$A$73</c:f>
              <c:strCache>
                <c:ptCount val="72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1/09/2025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  <c:pt idx="48">
                  <c:v>1/01/2026</c:v>
                </c:pt>
                <c:pt idx="49">
                  <c:v>1/02/2026</c:v>
                </c:pt>
                <c:pt idx="50">
                  <c:v>1/03/2026</c:v>
                </c:pt>
                <c:pt idx="51">
                  <c:v>1/04/2026</c:v>
                </c:pt>
                <c:pt idx="52">
                  <c:v>1/05/2026</c:v>
                </c:pt>
                <c:pt idx="53">
                  <c:v>1/06/2026</c:v>
                </c:pt>
                <c:pt idx="54">
                  <c:v>1/07/2026</c:v>
                </c:pt>
                <c:pt idx="55">
                  <c:v>1/08/2026</c:v>
                </c:pt>
                <c:pt idx="56">
                  <c:v>1/09/2026</c:v>
                </c:pt>
                <c:pt idx="57">
                  <c:v>1/10/2026</c:v>
                </c:pt>
                <c:pt idx="58">
                  <c:v>1/11/2026</c:v>
                </c:pt>
                <c:pt idx="59">
                  <c:v>1/12/2026</c:v>
                </c:pt>
                <c:pt idx="60">
                  <c:v>1/01/2027</c:v>
                </c:pt>
                <c:pt idx="61">
                  <c:v>1/02/2027</c:v>
                </c:pt>
                <c:pt idx="62">
                  <c:v>1/03/2027</c:v>
                </c:pt>
                <c:pt idx="63">
                  <c:v>1/04/2027</c:v>
                </c:pt>
                <c:pt idx="64">
                  <c:v>1/05/2027</c:v>
                </c:pt>
                <c:pt idx="65">
                  <c:v>1/06/2027</c:v>
                </c:pt>
                <c:pt idx="66">
                  <c:v>1/07/2027</c:v>
                </c:pt>
                <c:pt idx="67">
                  <c:v>1/08/2027</c:v>
                </c:pt>
                <c:pt idx="68">
                  <c:v>1/09/2027</c:v>
                </c:pt>
                <c:pt idx="69">
                  <c:v>1/10/2027</c:v>
                </c:pt>
                <c:pt idx="70">
                  <c:v>1/11/2027</c:v>
                </c:pt>
                <c:pt idx="71">
                  <c:v>1/12/2027</c:v>
                </c:pt>
              </c:strCache>
            </c:strRef>
          </c:cat>
          <c:val>
            <c:numRef>
              <c:f>'proyecciones vinculaciones'!$B$2:$B$73</c:f>
              <c:numCache>
                <c:formatCode>General</c:formatCode>
                <c:ptCount val="72"/>
                <c:pt idx="0">
                  <c:v>123989</c:v>
                </c:pt>
                <c:pt idx="1">
                  <c:v>128393</c:v>
                </c:pt>
                <c:pt idx="2">
                  <c:v>134153</c:v>
                </c:pt>
                <c:pt idx="3">
                  <c:v>138651</c:v>
                </c:pt>
                <c:pt idx="4">
                  <c:v>143962</c:v>
                </c:pt>
                <c:pt idx="5">
                  <c:v>149766</c:v>
                </c:pt>
                <c:pt idx="6">
                  <c:v>154876</c:v>
                </c:pt>
                <c:pt idx="7">
                  <c:v>161179</c:v>
                </c:pt>
                <c:pt idx="8">
                  <c:v>166934</c:v>
                </c:pt>
                <c:pt idx="9">
                  <c:v>172869</c:v>
                </c:pt>
                <c:pt idx="10">
                  <c:v>178663</c:v>
                </c:pt>
                <c:pt idx="11">
                  <c:v>183116</c:v>
                </c:pt>
                <c:pt idx="12">
                  <c:v>187237</c:v>
                </c:pt>
                <c:pt idx="13">
                  <c:v>191950</c:v>
                </c:pt>
                <c:pt idx="14">
                  <c:v>197243</c:v>
                </c:pt>
                <c:pt idx="15">
                  <c:v>201763</c:v>
                </c:pt>
                <c:pt idx="16">
                  <c:v>207416</c:v>
                </c:pt>
                <c:pt idx="17">
                  <c:v>212190</c:v>
                </c:pt>
                <c:pt idx="18">
                  <c:v>218173</c:v>
                </c:pt>
                <c:pt idx="19">
                  <c:v>223738</c:v>
                </c:pt>
                <c:pt idx="20">
                  <c:v>229350</c:v>
                </c:pt>
                <c:pt idx="21">
                  <c:v>234840</c:v>
                </c:pt>
                <c:pt idx="22">
                  <c:v>241226</c:v>
                </c:pt>
                <c:pt idx="23">
                  <c:v>246632</c:v>
                </c:pt>
                <c:pt idx="24">
                  <c:v>251013</c:v>
                </c:pt>
                <c:pt idx="25">
                  <c:v>256877</c:v>
                </c:pt>
                <c:pt idx="26">
                  <c:v>262015</c:v>
                </c:pt>
                <c:pt idx="27">
                  <c:v>267354</c:v>
                </c:pt>
                <c:pt idx="28">
                  <c:v>272740</c:v>
                </c:pt>
                <c:pt idx="29">
                  <c:v>277372</c:v>
                </c:pt>
                <c:pt idx="30">
                  <c:v>282952</c:v>
                </c:pt>
                <c:pt idx="31">
                  <c:v>288192</c:v>
                </c:pt>
                <c:pt idx="32">
                  <c:v>294215</c:v>
                </c:pt>
                <c:pt idx="33">
                  <c:v>299943</c:v>
                </c:pt>
                <c:pt idx="34">
                  <c:v>305164</c:v>
                </c:pt>
                <c:pt idx="35">
                  <c:v>309667</c:v>
                </c:pt>
                <c:pt idx="36">
                  <c:v>313674</c:v>
                </c:pt>
                <c:pt idx="37">
                  <c:v>317970</c:v>
                </c:pt>
                <c:pt idx="38">
                  <c:v>322701</c:v>
                </c:pt>
                <c:pt idx="39">
                  <c:v>327805</c:v>
                </c:pt>
                <c:pt idx="40">
                  <c:v>334142</c:v>
                </c:pt>
                <c:pt idx="41">
                  <c:v>340333</c:v>
                </c:pt>
                <c:pt idx="42">
                  <c:v>348209</c:v>
                </c:pt>
                <c:pt idx="43">
                  <c:v>358830</c:v>
                </c:pt>
                <c:pt idx="44">
                  <c:v>377185</c:v>
                </c:pt>
                <c:pt idx="45">
                  <c:v>393365</c:v>
                </c:pt>
                <c:pt idx="46">
                  <c:v>408348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7-5E47-B874-AADD9E1507DC}"/>
            </c:ext>
          </c:extLst>
        </c:ser>
        <c:ser>
          <c:idx val="1"/>
          <c:order val="1"/>
          <c:tx>
            <c:strRef>
              <c:f>'proyecciones vinculaciones'!$C$1</c:f>
              <c:strCache>
                <c:ptCount val="1"/>
                <c:pt idx="0">
                  <c:v>proyección lineal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'proyecciones vinculaciones'!$A$2:$A$73</c:f>
              <c:strCache>
                <c:ptCount val="72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1/09/2025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  <c:pt idx="48">
                  <c:v>1/01/2026</c:v>
                </c:pt>
                <c:pt idx="49">
                  <c:v>1/02/2026</c:v>
                </c:pt>
                <c:pt idx="50">
                  <c:v>1/03/2026</c:v>
                </c:pt>
                <c:pt idx="51">
                  <c:v>1/04/2026</c:v>
                </c:pt>
                <c:pt idx="52">
                  <c:v>1/05/2026</c:v>
                </c:pt>
                <c:pt idx="53">
                  <c:v>1/06/2026</c:v>
                </c:pt>
                <c:pt idx="54">
                  <c:v>1/07/2026</c:v>
                </c:pt>
                <c:pt idx="55">
                  <c:v>1/08/2026</c:v>
                </c:pt>
                <c:pt idx="56">
                  <c:v>1/09/2026</c:v>
                </c:pt>
                <c:pt idx="57">
                  <c:v>1/10/2026</c:v>
                </c:pt>
                <c:pt idx="58">
                  <c:v>1/11/2026</c:v>
                </c:pt>
                <c:pt idx="59">
                  <c:v>1/12/2026</c:v>
                </c:pt>
                <c:pt idx="60">
                  <c:v>1/01/2027</c:v>
                </c:pt>
                <c:pt idx="61">
                  <c:v>1/02/2027</c:v>
                </c:pt>
                <c:pt idx="62">
                  <c:v>1/03/2027</c:v>
                </c:pt>
                <c:pt idx="63">
                  <c:v>1/04/2027</c:v>
                </c:pt>
                <c:pt idx="64">
                  <c:v>1/05/2027</c:v>
                </c:pt>
                <c:pt idx="65">
                  <c:v>1/06/2027</c:v>
                </c:pt>
                <c:pt idx="66">
                  <c:v>1/07/2027</c:v>
                </c:pt>
                <c:pt idx="67">
                  <c:v>1/08/2027</c:v>
                </c:pt>
                <c:pt idx="68">
                  <c:v>1/09/2027</c:v>
                </c:pt>
                <c:pt idx="69">
                  <c:v>1/10/2027</c:v>
                </c:pt>
                <c:pt idx="70">
                  <c:v>1/11/2027</c:v>
                </c:pt>
                <c:pt idx="71">
                  <c:v>1/12/2027</c:v>
                </c:pt>
              </c:strCache>
            </c:strRef>
          </c:cat>
          <c:val>
            <c:numRef>
              <c:f>'proyecciones vinculaciones'!$C$2:$C$73</c:f>
              <c:numCache>
                <c:formatCode>General</c:formatCode>
                <c:ptCount val="72"/>
                <c:pt idx="47">
                  <c:v>579514.07999999996</c:v>
                </c:pt>
                <c:pt idx="48">
                  <c:v>750680.15999999992</c:v>
                </c:pt>
                <c:pt idx="49">
                  <c:v>921846.23999999987</c:v>
                </c:pt>
                <c:pt idx="50">
                  <c:v>1093012.3199999998</c:v>
                </c:pt>
                <c:pt idx="51">
                  <c:v>1264178.3999999999</c:v>
                </c:pt>
                <c:pt idx="52">
                  <c:v>1435344.48</c:v>
                </c:pt>
                <c:pt idx="53">
                  <c:v>1606510.56</c:v>
                </c:pt>
                <c:pt idx="54">
                  <c:v>1777676.6400000001</c:v>
                </c:pt>
                <c:pt idx="55">
                  <c:v>1948842.7200000002</c:v>
                </c:pt>
                <c:pt idx="56">
                  <c:v>2120008.8000000003</c:v>
                </c:pt>
                <c:pt idx="57">
                  <c:v>2291174.8800000004</c:v>
                </c:pt>
                <c:pt idx="58">
                  <c:v>2462340.9600000004</c:v>
                </c:pt>
                <c:pt idx="59">
                  <c:v>2633507.0400000005</c:v>
                </c:pt>
                <c:pt idx="60">
                  <c:v>2804673.1200000006</c:v>
                </c:pt>
                <c:pt idx="61">
                  <c:v>2975839.2000000007</c:v>
                </c:pt>
                <c:pt idx="62">
                  <c:v>3147005.2800000007</c:v>
                </c:pt>
                <c:pt idx="63">
                  <c:v>3318171.3600000008</c:v>
                </c:pt>
                <c:pt idx="64">
                  <c:v>3489337.4400000009</c:v>
                </c:pt>
                <c:pt idx="65">
                  <c:v>3660503.5200000009</c:v>
                </c:pt>
                <c:pt idx="66">
                  <c:v>3831669.600000001</c:v>
                </c:pt>
                <c:pt idx="67">
                  <c:v>4002835.6800000011</c:v>
                </c:pt>
                <c:pt idx="68">
                  <c:v>4174001.7600000012</c:v>
                </c:pt>
                <c:pt idx="69">
                  <c:v>4345167.8400000008</c:v>
                </c:pt>
                <c:pt idx="70">
                  <c:v>4516333.9200000009</c:v>
                </c:pt>
                <c:pt idx="71">
                  <c:v>4687500.0000000009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7-5E47-B874-AADD9E150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150272"/>
        <c:axId val="961136832"/>
      </c:lineChart>
      <c:catAx>
        <c:axId val="9611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1136832"/>
        <c:crosses val="autoZero"/>
        <c:auto val="1"/>
        <c:lblAlgn val="ctr"/>
        <c:lblOffset val="100"/>
        <c:noMultiLvlLbl val="0"/>
      </c:catAx>
      <c:valAx>
        <c:axId val="96113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115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'proyecciones vinculaciones'!$D$1</c:f>
              <c:strCache>
                <c:ptCount val="1"/>
                <c:pt idx="0">
                  <c:v>proyeccion lineal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'proyecciones vinculaciones'!$A$2:$A$73</c:f>
              <c:strCache>
                <c:ptCount val="72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1/09/2025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  <c:pt idx="48">
                  <c:v>1/01/2026</c:v>
                </c:pt>
                <c:pt idx="49">
                  <c:v>1/02/2026</c:v>
                </c:pt>
                <c:pt idx="50">
                  <c:v>1/03/2026</c:v>
                </c:pt>
                <c:pt idx="51">
                  <c:v>1/04/2026</c:v>
                </c:pt>
                <c:pt idx="52">
                  <c:v>1/05/2026</c:v>
                </c:pt>
                <c:pt idx="53">
                  <c:v>1/06/2026</c:v>
                </c:pt>
                <c:pt idx="54">
                  <c:v>1/07/2026</c:v>
                </c:pt>
                <c:pt idx="55">
                  <c:v>1/08/2026</c:v>
                </c:pt>
                <c:pt idx="56">
                  <c:v>1/09/2026</c:v>
                </c:pt>
                <c:pt idx="57">
                  <c:v>1/10/2026</c:v>
                </c:pt>
                <c:pt idx="58">
                  <c:v>1/11/2026</c:v>
                </c:pt>
                <c:pt idx="59">
                  <c:v>1/12/2026</c:v>
                </c:pt>
                <c:pt idx="60">
                  <c:v>1/01/2027</c:v>
                </c:pt>
                <c:pt idx="61">
                  <c:v>1/02/2027</c:v>
                </c:pt>
                <c:pt idx="62">
                  <c:v>1/03/2027</c:v>
                </c:pt>
                <c:pt idx="63">
                  <c:v>1/04/2027</c:v>
                </c:pt>
                <c:pt idx="64">
                  <c:v>1/05/2027</c:v>
                </c:pt>
                <c:pt idx="65">
                  <c:v>1/06/2027</c:v>
                </c:pt>
                <c:pt idx="66">
                  <c:v>1/07/2027</c:v>
                </c:pt>
                <c:pt idx="67">
                  <c:v>1/08/2027</c:v>
                </c:pt>
                <c:pt idx="68">
                  <c:v>1/09/2027</c:v>
                </c:pt>
                <c:pt idx="69">
                  <c:v>1/10/2027</c:v>
                </c:pt>
                <c:pt idx="70">
                  <c:v>1/11/2027</c:v>
                </c:pt>
                <c:pt idx="71">
                  <c:v>1/12/2027</c:v>
                </c:pt>
              </c:strCache>
            </c:strRef>
          </c:cat>
          <c:val>
            <c:numRef>
              <c:f>'proyecciones vinculaciones'!$D$2:$D$73</c:f>
              <c:numCache>
                <c:formatCode>General</c:formatCode>
                <c:ptCount val="72"/>
                <c:pt idx="47">
                  <c:v>171166.07999999999</c:v>
                </c:pt>
                <c:pt idx="48">
                  <c:v>171166.07999999999</c:v>
                </c:pt>
                <c:pt idx="49">
                  <c:v>171166.07999999999</c:v>
                </c:pt>
                <c:pt idx="50">
                  <c:v>171166.07999999999</c:v>
                </c:pt>
                <c:pt idx="51">
                  <c:v>171166.07999999999</c:v>
                </c:pt>
                <c:pt idx="52">
                  <c:v>171166.07999999999</c:v>
                </c:pt>
                <c:pt idx="53">
                  <c:v>171166.07999999999</c:v>
                </c:pt>
                <c:pt idx="54">
                  <c:v>171166.07999999999</c:v>
                </c:pt>
                <c:pt idx="55">
                  <c:v>171166.07999999999</c:v>
                </c:pt>
                <c:pt idx="56">
                  <c:v>171166.07999999999</c:v>
                </c:pt>
                <c:pt idx="57">
                  <c:v>171166.07999999999</c:v>
                </c:pt>
                <c:pt idx="58">
                  <c:v>171166.07999999999</c:v>
                </c:pt>
                <c:pt idx="59">
                  <c:v>171166.07999999999</c:v>
                </c:pt>
                <c:pt idx="60">
                  <c:v>171166.07999999999</c:v>
                </c:pt>
                <c:pt idx="61">
                  <c:v>171166.07999999999</c:v>
                </c:pt>
                <c:pt idx="62">
                  <c:v>171166.07999999999</c:v>
                </c:pt>
                <c:pt idx="63">
                  <c:v>171166.07999999999</c:v>
                </c:pt>
                <c:pt idx="64">
                  <c:v>171166.07999999999</c:v>
                </c:pt>
                <c:pt idx="65">
                  <c:v>171166.07999999999</c:v>
                </c:pt>
                <c:pt idx="66">
                  <c:v>171166.07999999999</c:v>
                </c:pt>
                <c:pt idx="67">
                  <c:v>171166.07999999999</c:v>
                </c:pt>
                <c:pt idx="68">
                  <c:v>171166.07999999999</c:v>
                </c:pt>
                <c:pt idx="69">
                  <c:v>171166.07999999999</c:v>
                </c:pt>
                <c:pt idx="70">
                  <c:v>171166.07999999999</c:v>
                </c:pt>
                <c:pt idx="71">
                  <c:v>171166.07999999999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2-5C4D-903B-A041B4417DA6}"/>
            </c:ext>
          </c:extLst>
        </c:ser>
        <c:ser>
          <c:idx val="1"/>
          <c:order val="1"/>
          <c:tx>
            <c:strRef>
              <c:f>'proyecciones vinculaciones'!$E$1</c:f>
              <c:strCache>
                <c:ptCount val="1"/>
                <c:pt idx="0">
                  <c:v>vinculados nuevos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'proyecciones vinculaciones'!$A$2:$A$73</c:f>
              <c:strCache>
                <c:ptCount val="72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1/09/2025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  <c:pt idx="48">
                  <c:v>1/01/2026</c:v>
                </c:pt>
                <c:pt idx="49">
                  <c:v>1/02/2026</c:v>
                </c:pt>
                <c:pt idx="50">
                  <c:v>1/03/2026</c:v>
                </c:pt>
                <c:pt idx="51">
                  <c:v>1/04/2026</c:v>
                </c:pt>
                <c:pt idx="52">
                  <c:v>1/05/2026</c:v>
                </c:pt>
                <c:pt idx="53">
                  <c:v>1/06/2026</c:v>
                </c:pt>
                <c:pt idx="54">
                  <c:v>1/07/2026</c:v>
                </c:pt>
                <c:pt idx="55">
                  <c:v>1/08/2026</c:v>
                </c:pt>
                <c:pt idx="56">
                  <c:v>1/09/2026</c:v>
                </c:pt>
                <c:pt idx="57">
                  <c:v>1/10/2026</c:v>
                </c:pt>
                <c:pt idx="58">
                  <c:v>1/11/2026</c:v>
                </c:pt>
                <c:pt idx="59">
                  <c:v>1/12/2026</c:v>
                </c:pt>
                <c:pt idx="60">
                  <c:v>1/01/2027</c:v>
                </c:pt>
                <c:pt idx="61">
                  <c:v>1/02/2027</c:v>
                </c:pt>
                <c:pt idx="62">
                  <c:v>1/03/2027</c:v>
                </c:pt>
                <c:pt idx="63">
                  <c:v>1/04/2027</c:v>
                </c:pt>
                <c:pt idx="64">
                  <c:v>1/05/2027</c:v>
                </c:pt>
                <c:pt idx="65">
                  <c:v>1/06/2027</c:v>
                </c:pt>
                <c:pt idx="66">
                  <c:v>1/07/2027</c:v>
                </c:pt>
                <c:pt idx="67">
                  <c:v>1/08/2027</c:v>
                </c:pt>
                <c:pt idx="68">
                  <c:v>1/09/2027</c:v>
                </c:pt>
                <c:pt idx="69">
                  <c:v>1/10/2027</c:v>
                </c:pt>
                <c:pt idx="70">
                  <c:v>1/11/2027</c:v>
                </c:pt>
                <c:pt idx="71">
                  <c:v>1/12/2027</c:v>
                </c:pt>
              </c:strCache>
            </c:strRef>
          </c:cat>
          <c:val>
            <c:numRef>
              <c:f>'proyecciones vinculaciones'!$E$2:$E$73</c:f>
              <c:numCache>
                <c:formatCode>General</c:formatCode>
                <c:ptCount val="72"/>
                <c:pt idx="0">
                  <c:v>3390</c:v>
                </c:pt>
                <c:pt idx="1">
                  <c:v>4404</c:v>
                </c:pt>
                <c:pt idx="2">
                  <c:v>5760</c:v>
                </c:pt>
                <c:pt idx="3">
                  <c:v>4498</c:v>
                </c:pt>
                <c:pt idx="4">
                  <c:v>5311</c:v>
                </c:pt>
                <c:pt idx="5">
                  <c:v>5804</c:v>
                </c:pt>
                <c:pt idx="6">
                  <c:v>5110</c:v>
                </c:pt>
                <c:pt idx="7">
                  <c:v>6303</c:v>
                </c:pt>
                <c:pt idx="8">
                  <c:v>5755</c:v>
                </c:pt>
                <c:pt idx="9">
                  <c:v>5935</c:v>
                </c:pt>
                <c:pt idx="10">
                  <c:v>5794</c:v>
                </c:pt>
                <c:pt idx="11">
                  <c:v>4453</c:v>
                </c:pt>
                <c:pt idx="12">
                  <c:v>4121</c:v>
                </c:pt>
                <c:pt idx="13">
                  <c:v>4713</c:v>
                </c:pt>
                <c:pt idx="14">
                  <c:v>5293</c:v>
                </c:pt>
                <c:pt idx="15">
                  <c:v>4520</c:v>
                </c:pt>
                <c:pt idx="16">
                  <c:v>5653</c:v>
                </c:pt>
                <c:pt idx="17">
                  <c:v>4774</c:v>
                </c:pt>
                <c:pt idx="18">
                  <c:v>5983</c:v>
                </c:pt>
                <c:pt idx="19">
                  <c:v>5565</c:v>
                </c:pt>
                <c:pt idx="20">
                  <c:v>5612</c:v>
                </c:pt>
                <c:pt idx="21">
                  <c:v>5490</c:v>
                </c:pt>
                <c:pt idx="22">
                  <c:v>6386</c:v>
                </c:pt>
                <c:pt idx="23">
                  <c:v>5406</c:v>
                </c:pt>
                <c:pt idx="24">
                  <c:v>4381</c:v>
                </c:pt>
                <c:pt idx="25">
                  <c:v>5864</c:v>
                </c:pt>
                <c:pt idx="26">
                  <c:v>5138</c:v>
                </c:pt>
                <c:pt idx="27">
                  <c:v>5339</c:v>
                </c:pt>
                <c:pt idx="28">
                  <c:v>5386</c:v>
                </c:pt>
                <c:pt idx="29">
                  <c:v>4632</c:v>
                </c:pt>
                <c:pt idx="30">
                  <c:v>5580</c:v>
                </c:pt>
                <c:pt idx="31">
                  <c:v>5240</c:v>
                </c:pt>
                <c:pt idx="32">
                  <c:v>6023</c:v>
                </c:pt>
                <c:pt idx="33">
                  <c:v>5728</c:v>
                </c:pt>
                <c:pt idx="34">
                  <c:v>5221</c:v>
                </c:pt>
                <c:pt idx="35">
                  <c:v>4503</c:v>
                </c:pt>
                <c:pt idx="36">
                  <c:v>4007</c:v>
                </c:pt>
                <c:pt idx="37">
                  <c:v>4296</c:v>
                </c:pt>
                <c:pt idx="38">
                  <c:v>4731</c:v>
                </c:pt>
                <c:pt idx="39">
                  <c:v>5104</c:v>
                </c:pt>
                <c:pt idx="40">
                  <c:v>6337</c:v>
                </c:pt>
                <c:pt idx="41">
                  <c:v>6191</c:v>
                </c:pt>
                <c:pt idx="42">
                  <c:v>7876</c:v>
                </c:pt>
                <c:pt idx="43">
                  <c:v>10621</c:v>
                </c:pt>
                <c:pt idx="44">
                  <c:v>18355</c:v>
                </c:pt>
                <c:pt idx="45">
                  <c:v>16180</c:v>
                </c:pt>
                <c:pt idx="46">
                  <c:v>14983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2-5C4D-903B-A041B441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350912"/>
        <c:axId val="1000354048"/>
      </c:lineChart>
      <c:catAx>
        <c:axId val="100035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0354048"/>
        <c:crosses val="autoZero"/>
        <c:auto val="1"/>
        <c:lblAlgn val="ctr"/>
        <c:lblOffset val="100"/>
        <c:noMultiLvlLbl val="0"/>
      </c:catAx>
      <c:valAx>
        <c:axId val="10003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03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'proyecciones uso'!$B$1</c:f>
              <c:strCache>
                <c:ptCount val="1"/>
                <c:pt idx="0">
                  <c:v>num_vinc_all_uso_cumsum_ym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'proyecciones uso'!$A$2:$A$73</c:f>
              <c:strCache>
                <c:ptCount val="72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1/09/2025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  <c:pt idx="48">
                  <c:v>1/01/2026</c:v>
                </c:pt>
                <c:pt idx="49">
                  <c:v>1/02/2026</c:v>
                </c:pt>
                <c:pt idx="50">
                  <c:v>1/03/2026</c:v>
                </c:pt>
                <c:pt idx="51">
                  <c:v>1/04/2026</c:v>
                </c:pt>
                <c:pt idx="52">
                  <c:v>1/05/2026</c:v>
                </c:pt>
                <c:pt idx="53">
                  <c:v>1/06/2026</c:v>
                </c:pt>
                <c:pt idx="54">
                  <c:v>1/07/2026</c:v>
                </c:pt>
                <c:pt idx="55">
                  <c:v>1/08/2026</c:v>
                </c:pt>
                <c:pt idx="56">
                  <c:v>1/09/2026</c:v>
                </c:pt>
                <c:pt idx="57">
                  <c:v>1/10/2026</c:v>
                </c:pt>
                <c:pt idx="58">
                  <c:v>1/11/2026</c:v>
                </c:pt>
                <c:pt idx="59">
                  <c:v>1/12/2026</c:v>
                </c:pt>
                <c:pt idx="60">
                  <c:v>1/01/2027</c:v>
                </c:pt>
                <c:pt idx="61">
                  <c:v>1/02/2027</c:v>
                </c:pt>
                <c:pt idx="62">
                  <c:v>1/03/2027</c:v>
                </c:pt>
                <c:pt idx="63">
                  <c:v>1/04/2027</c:v>
                </c:pt>
                <c:pt idx="64">
                  <c:v>1/05/2027</c:v>
                </c:pt>
                <c:pt idx="65">
                  <c:v>1/06/2027</c:v>
                </c:pt>
                <c:pt idx="66">
                  <c:v>1/07/2027</c:v>
                </c:pt>
                <c:pt idx="67">
                  <c:v>1/08/2027</c:v>
                </c:pt>
                <c:pt idx="68">
                  <c:v>1/09/2027</c:v>
                </c:pt>
                <c:pt idx="69">
                  <c:v>1/10/2027</c:v>
                </c:pt>
                <c:pt idx="70">
                  <c:v>1/11/2027</c:v>
                </c:pt>
                <c:pt idx="71">
                  <c:v>1/12/2027</c:v>
                </c:pt>
              </c:strCache>
            </c:strRef>
          </c:cat>
          <c:val>
            <c:numRef>
              <c:f>'proyecciones uso'!$B$2:$B$73</c:f>
              <c:numCache>
                <c:formatCode>General</c:formatCode>
                <c:ptCount val="72"/>
                <c:pt idx="0">
                  <c:v>52679</c:v>
                </c:pt>
                <c:pt idx="1">
                  <c:v>59707</c:v>
                </c:pt>
                <c:pt idx="2">
                  <c:v>66194</c:v>
                </c:pt>
                <c:pt idx="3">
                  <c:v>71211</c:v>
                </c:pt>
                <c:pt idx="4">
                  <c:v>76239</c:v>
                </c:pt>
                <c:pt idx="5">
                  <c:v>81605</c:v>
                </c:pt>
                <c:pt idx="6">
                  <c:v>86178</c:v>
                </c:pt>
                <c:pt idx="7">
                  <c:v>91421</c:v>
                </c:pt>
                <c:pt idx="8">
                  <c:v>96605</c:v>
                </c:pt>
                <c:pt idx="9">
                  <c:v>101634</c:v>
                </c:pt>
                <c:pt idx="10">
                  <c:v>106660</c:v>
                </c:pt>
                <c:pt idx="11">
                  <c:v>111019</c:v>
                </c:pt>
                <c:pt idx="12">
                  <c:v>70076</c:v>
                </c:pt>
                <c:pt idx="13">
                  <c:v>77915</c:v>
                </c:pt>
                <c:pt idx="14">
                  <c:v>84464</c:v>
                </c:pt>
                <c:pt idx="15">
                  <c:v>89520</c:v>
                </c:pt>
                <c:pt idx="16">
                  <c:v>94669</c:v>
                </c:pt>
                <c:pt idx="17">
                  <c:v>99729</c:v>
                </c:pt>
                <c:pt idx="18">
                  <c:v>104813</c:v>
                </c:pt>
                <c:pt idx="19">
                  <c:v>109841</c:v>
                </c:pt>
                <c:pt idx="20">
                  <c:v>114623</c:v>
                </c:pt>
                <c:pt idx="21">
                  <c:v>119016</c:v>
                </c:pt>
                <c:pt idx="22">
                  <c:v>123911</c:v>
                </c:pt>
                <c:pt idx="23">
                  <c:v>128675</c:v>
                </c:pt>
                <c:pt idx="24">
                  <c:v>79427</c:v>
                </c:pt>
                <c:pt idx="25">
                  <c:v>88509</c:v>
                </c:pt>
                <c:pt idx="26">
                  <c:v>94797</c:v>
                </c:pt>
                <c:pt idx="27">
                  <c:v>99620</c:v>
                </c:pt>
                <c:pt idx="28">
                  <c:v>104139</c:v>
                </c:pt>
                <c:pt idx="29">
                  <c:v>107741</c:v>
                </c:pt>
                <c:pt idx="30">
                  <c:v>111955</c:v>
                </c:pt>
                <c:pt idx="31">
                  <c:v>115782</c:v>
                </c:pt>
                <c:pt idx="32">
                  <c:v>119348</c:v>
                </c:pt>
                <c:pt idx="33">
                  <c:v>124022</c:v>
                </c:pt>
                <c:pt idx="34">
                  <c:v>127965</c:v>
                </c:pt>
                <c:pt idx="35">
                  <c:v>131771</c:v>
                </c:pt>
                <c:pt idx="36">
                  <c:v>80679</c:v>
                </c:pt>
                <c:pt idx="37">
                  <c:v>88271</c:v>
                </c:pt>
                <c:pt idx="38">
                  <c:v>93722</c:v>
                </c:pt>
                <c:pt idx="39">
                  <c:v>98510</c:v>
                </c:pt>
                <c:pt idx="40">
                  <c:v>103552</c:v>
                </c:pt>
                <c:pt idx="41">
                  <c:v>107599</c:v>
                </c:pt>
                <c:pt idx="42">
                  <c:v>112253</c:v>
                </c:pt>
                <c:pt idx="43">
                  <c:v>117163</c:v>
                </c:pt>
                <c:pt idx="44">
                  <c:v>122827</c:v>
                </c:pt>
                <c:pt idx="45">
                  <c:v>128222</c:v>
                </c:pt>
                <c:pt idx="46">
                  <c:v>133339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6-644E-BE85-57E8FFC77E49}"/>
            </c:ext>
          </c:extLst>
        </c:ser>
        <c:ser>
          <c:idx val="1"/>
          <c:order val="1"/>
          <c:tx>
            <c:strRef>
              <c:f>'proyecciones uso'!$C$1</c:f>
              <c:strCache>
                <c:ptCount val="1"/>
                <c:pt idx="0">
                  <c:v>proyeccion lineal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'proyecciones uso'!$A$2:$A$73</c:f>
              <c:strCache>
                <c:ptCount val="72"/>
                <c:pt idx="0">
                  <c:v>2022/01/01</c:v>
                </c:pt>
                <c:pt idx="1">
                  <c:v>2022/02/01</c:v>
                </c:pt>
                <c:pt idx="2">
                  <c:v>2022/03/01</c:v>
                </c:pt>
                <c:pt idx="3">
                  <c:v>2022/04/01</c:v>
                </c:pt>
                <c:pt idx="4">
                  <c:v>2022/05/01</c:v>
                </c:pt>
                <c:pt idx="5">
                  <c:v>2022/06/01</c:v>
                </c:pt>
                <c:pt idx="6">
                  <c:v>2022/07/01</c:v>
                </c:pt>
                <c:pt idx="7">
                  <c:v>2022/08/01</c:v>
                </c:pt>
                <c:pt idx="8">
                  <c:v>2022/09/01</c:v>
                </c:pt>
                <c:pt idx="9">
                  <c:v>2022/10/01</c:v>
                </c:pt>
                <c:pt idx="10">
                  <c:v>2022/11/01</c:v>
                </c:pt>
                <c:pt idx="11">
                  <c:v>2022/12/01</c:v>
                </c:pt>
                <c:pt idx="12">
                  <c:v>2023/01/01</c:v>
                </c:pt>
                <c:pt idx="13">
                  <c:v>2023/02/01</c:v>
                </c:pt>
                <c:pt idx="14">
                  <c:v>2023/03/01</c:v>
                </c:pt>
                <c:pt idx="15">
                  <c:v>2023/04/01</c:v>
                </c:pt>
                <c:pt idx="16">
                  <c:v>2023/05/01</c:v>
                </c:pt>
                <c:pt idx="17">
                  <c:v>2023/06/01</c:v>
                </c:pt>
                <c:pt idx="18">
                  <c:v>2023/07/01</c:v>
                </c:pt>
                <c:pt idx="19">
                  <c:v>2023/08/01</c:v>
                </c:pt>
                <c:pt idx="20">
                  <c:v>2023/09/01</c:v>
                </c:pt>
                <c:pt idx="21">
                  <c:v>2023/10/01</c:v>
                </c:pt>
                <c:pt idx="22">
                  <c:v>2023/11/01</c:v>
                </c:pt>
                <c:pt idx="23">
                  <c:v>2023/12/01</c:v>
                </c:pt>
                <c:pt idx="24">
                  <c:v>2024/01/01</c:v>
                </c:pt>
                <c:pt idx="25">
                  <c:v>2024/02/01</c:v>
                </c:pt>
                <c:pt idx="26">
                  <c:v>2024/03/01</c:v>
                </c:pt>
                <c:pt idx="27">
                  <c:v>2024/04/01</c:v>
                </c:pt>
                <c:pt idx="28">
                  <c:v>2024/05/01</c:v>
                </c:pt>
                <c:pt idx="29">
                  <c:v>2024/06/01</c:v>
                </c:pt>
                <c:pt idx="30">
                  <c:v>2024/07/01</c:v>
                </c:pt>
                <c:pt idx="31">
                  <c:v>2024/08/01</c:v>
                </c:pt>
                <c:pt idx="32">
                  <c:v>2024/09/01</c:v>
                </c:pt>
                <c:pt idx="33">
                  <c:v>2024/10/01</c:v>
                </c:pt>
                <c:pt idx="34">
                  <c:v>2024/11/01</c:v>
                </c:pt>
                <c:pt idx="35">
                  <c:v>2024/12/01</c:v>
                </c:pt>
                <c:pt idx="36">
                  <c:v>2025/01/01</c:v>
                </c:pt>
                <c:pt idx="37">
                  <c:v>2025/02/01</c:v>
                </c:pt>
                <c:pt idx="38">
                  <c:v>2025/03/01</c:v>
                </c:pt>
                <c:pt idx="39">
                  <c:v>2025/04/01</c:v>
                </c:pt>
                <c:pt idx="40">
                  <c:v>2025/05/01</c:v>
                </c:pt>
                <c:pt idx="41">
                  <c:v>2025/06/01</c:v>
                </c:pt>
                <c:pt idx="42">
                  <c:v>2025/07/01</c:v>
                </c:pt>
                <c:pt idx="43">
                  <c:v>2025/08/01</c:v>
                </c:pt>
                <c:pt idx="44">
                  <c:v>1/09/2025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  <c:pt idx="48">
                  <c:v>1/01/2026</c:v>
                </c:pt>
                <c:pt idx="49">
                  <c:v>1/02/2026</c:v>
                </c:pt>
                <c:pt idx="50">
                  <c:v>1/03/2026</c:v>
                </c:pt>
                <c:pt idx="51">
                  <c:v>1/04/2026</c:v>
                </c:pt>
                <c:pt idx="52">
                  <c:v>1/05/2026</c:v>
                </c:pt>
                <c:pt idx="53">
                  <c:v>1/06/2026</c:v>
                </c:pt>
                <c:pt idx="54">
                  <c:v>1/07/2026</c:v>
                </c:pt>
                <c:pt idx="55">
                  <c:v>1/08/2026</c:v>
                </c:pt>
                <c:pt idx="56">
                  <c:v>1/09/2026</c:v>
                </c:pt>
                <c:pt idx="57">
                  <c:v>1/10/2026</c:v>
                </c:pt>
                <c:pt idx="58">
                  <c:v>1/11/2026</c:v>
                </c:pt>
                <c:pt idx="59">
                  <c:v>1/12/2026</c:v>
                </c:pt>
                <c:pt idx="60">
                  <c:v>1/01/2027</c:v>
                </c:pt>
                <c:pt idx="61">
                  <c:v>1/02/2027</c:v>
                </c:pt>
                <c:pt idx="62">
                  <c:v>1/03/2027</c:v>
                </c:pt>
                <c:pt idx="63">
                  <c:v>1/04/2027</c:v>
                </c:pt>
                <c:pt idx="64">
                  <c:v>1/05/2027</c:v>
                </c:pt>
                <c:pt idx="65">
                  <c:v>1/06/2027</c:v>
                </c:pt>
                <c:pt idx="66">
                  <c:v>1/07/2027</c:v>
                </c:pt>
                <c:pt idx="67">
                  <c:v>1/08/2027</c:v>
                </c:pt>
                <c:pt idx="68">
                  <c:v>1/09/2027</c:v>
                </c:pt>
                <c:pt idx="69">
                  <c:v>1/10/2027</c:v>
                </c:pt>
                <c:pt idx="70">
                  <c:v>1/11/2027</c:v>
                </c:pt>
                <c:pt idx="71">
                  <c:v>1/12/2027</c:v>
                </c:pt>
              </c:strCache>
            </c:strRef>
          </c:cat>
          <c:val>
            <c:numRef>
              <c:f>'proyecciones uso'!$C$2:$C$73</c:f>
              <c:numCache>
                <c:formatCode>General</c:formatCode>
                <c:ptCount val="72"/>
                <c:pt idx="47">
                  <c:v>188005.44</c:v>
                </c:pt>
                <c:pt idx="48">
                  <c:v>242671.88</c:v>
                </c:pt>
                <c:pt idx="49">
                  <c:v>297338.32</c:v>
                </c:pt>
                <c:pt idx="50">
                  <c:v>352004.76</c:v>
                </c:pt>
                <c:pt idx="51">
                  <c:v>406671.2</c:v>
                </c:pt>
                <c:pt idx="52">
                  <c:v>461337.64</c:v>
                </c:pt>
                <c:pt idx="53">
                  <c:v>516004.08</c:v>
                </c:pt>
                <c:pt idx="54">
                  <c:v>570670.52</c:v>
                </c:pt>
                <c:pt idx="55">
                  <c:v>625336.96</c:v>
                </c:pt>
                <c:pt idx="56">
                  <c:v>680003.39999999991</c:v>
                </c:pt>
                <c:pt idx="57">
                  <c:v>734669.83999999985</c:v>
                </c:pt>
                <c:pt idx="58">
                  <c:v>789336.2799999998</c:v>
                </c:pt>
                <c:pt idx="59">
                  <c:v>844002.71999999974</c:v>
                </c:pt>
                <c:pt idx="60">
                  <c:v>898669.15999999968</c:v>
                </c:pt>
                <c:pt idx="61">
                  <c:v>953335.59999999963</c:v>
                </c:pt>
                <c:pt idx="62">
                  <c:v>1008002.0399999996</c:v>
                </c:pt>
                <c:pt idx="63">
                  <c:v>1062668.4799999995</c:v>
                </c:pt>
                <c:pt idx="64">
                  <c:v>1117334.9199999995</c:v>
                </c:pt>
                <c:pt idx="65">
                  <c:v>1172001.3599999994</c:v>
                </c:pt>
                <c:pt idx="66">
                  <c:v>1226667.7999999993</c:v>
                </c:pt>
                <c:pt idx="67">
                  <c:v>1281334.2399999993</c:v>
                </c:pt>
                <c:pt idx="68">
                  <c:v>1336000.6799999992</c:v>
                </c:pt>
                <c:pt idx="69">
                  <c:v>1390667.1199999992</c:v>
                </c:pt>
                <c:pt idx="70">
                  <c:v>1445333.5599999991</c:v>
                </c:pt>
                <c:pt idx="71">
                  <c:v>1499999.9999999991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6-644E-BE85-57E8FFC7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900480"/>
        <c:axId val="1275552512"/>
      </c:lineChart>
      <c:catAx>
        <c:axId val="9999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5552512"/>
        <c:crosses val="autoZero"/>
        <c:auto val="1"/>
        <c:lblAlgn val="ctr"/>
        <c:lblOffset val="100"/>
        <c:noMultiLvlLbl val="0"/>
      </c:catAx>
      <c:valAx>
        <c:axId val="12755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99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76200</xdr:rowOff>
    </xdr:from>
    <xdr:to>
      <xdr:col>19</xdr:col>
      <xdr:colOff>476250</xdr:colOff>
      <xdr:row>52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D275A8-46BE-8A4C-8AE2-4CD7637E2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632815</xdr:colOff>
      <xdr:row>48</xdr:row>
      <xdr:rowOff>7374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B2489A-7FA3-4A46-9C34-BB4E8C18C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419100</xdr:colOff>
      <xdr:row>39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C7D76B-7DF8-694D-8C5A-3F18DA756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33</xdr:row>
      <xdr:rowOff>44450</xdr:rowOff>
    </xdr:from>
    <xdr:to>
      <xdr:col>15</xdr:col>
      <xdr:colOff>635000</xdr:colOff>
      <xdr:row>67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300F43-4CFC-E3D8-536B-0E3151FCA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234950</xdr:colOff>
      <xdr:row>29</xdr:row>
      <xdr:rowOff>184150</xdr:rowOff>
    </xdr:from>
    <xdr:to>
      <xdr:col>16</xdr:col>
      <xdr:colOff>419100</xdr:colOff>
      <xdr:row>65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823863-B14C-86E0-EE68-8E4F4656F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32</xdr:row>
      <xdr:rowOff>184150</xdr:rowOff>
    </xdr:from>
    <xdr:to>
      <xdr:col>15</xdr:col>
      <xdr:colOff>660400</xdr:colOff>
      <xdr:row>64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3099C9-04D9-1B4A-11C9-663EADE5D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zoomScaleNormal="100" workbookViewId="0">
      <selection activeCell="D1" sqref="D1"/>
    </sheetView>
  </sheetViews>
  <sheetFormatPr baseColWidth="10" defaultColWidth="8.83203125" defaultRowHeight="15" x14ac:dyDescent="0.2"/>
  <cols>
    <col min="2" max="2" width="18.33203125" customWidth="1"/>
    <col min="3" max="3" width="15.6640625" customWidth="1"/>
    <col min="4" max="4" width="25.6640625" customWidth="1"/>
    <col min="5" max="5" width="25.33203125" customWidth="1"/>
    <col min="6" max="6" width="32.6640625" customWidth="1"/>
    <col min="7" max="7" width="25.33203125" customWidth="1"/>
    <col min="8" max="8" width="22" customWidth="1"/>
    <col min="9" max="9" width="27.1640625" customWidth="1"/>
    <col min="10" max="10" width="17.5" customWidth="1"/>
    <col min="11" max="11" width="22.5" customWidth="1"/>
    <col min="12" max="12" width="20.5" customWidth="1"/>
    <col min="13" max="13" width="15.5" customWidth="1"/>
    <col min="16" max="16" width="20.1640625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46</v>
      </c>
      <c r="B2">
        <v>202201</v>
      </c>
      <c r="C2" t="s">
        <v>58</v>
      </c>
      <c r="D2">
        <v>3390</v>
      </c>
      <c r="E2">
        <v>3390</v>
      </c>
      <c r="F2">
        <v>1778</v>
      </c>
      <c r="G2">
        <v>0.52449999999999997</v>
      </c>
      <c r="H2">
        <v>120599</v>
      </c>
      <c r="I2">
        <v>50901</v>
      </c>
      <c r="J2">
        <v>0.42209999999999998</v>
      </c>
      <c r="K2">
        <v>123989</v>
      </c>
      <c r="L2">
        <v>52679</v>
      </c>
      <c r="M2">
        <v>0.4249</v>
      </c>
    </row>
    <row r="3" spans="1:13" x14ac:dyDescent="0.2">
      <c r="A3" s="1">
        <v>45</v>
      </c>
      <c r="B3">
        <v>202202</v>
      </c>
      <c r="C3" t="s">
        <v>57</v>
      </c>
      <c r="D3">
        <v>4404</v>
      </c>
      <c r="E3">
        <v>7794</v>
      </c>
      <c r="F3">
        <v>4978</v>
      </c>
      <c r="G3">
        <v>0.63870000000000005</v>
      </c>
      <c r="H3">
        <v>120599</v>
      </c>
      <c r="I3">
        <v>54729</v>
      </c>
      <c r="J3">
        <v>0.45379999999999998</v>
      </c>
      <c r="K3">
        <v>128393</v>
      </c>
      <c r="L3">
        <v>59707</v>
      </c>
      <c r="M3">
        <v>0.46500000000000002</v>
      </c>
    </row>
    <row r="4" spans="1:13" x14ac:dyDescent="0.2">
      <c r="A4" s="1">
        <v>44</v>
      </c>
      <c r="B4">
        <v>202203</v>
      </c>
      <c r="C4" t="s">
        <v>56</v>
      </c>
      <c r="D4">
        <v>5760</v>
      </c>
      <c r="E4">
        <v>13554</v>
      </c>
      <c r="F4">
        <v>9245</v>
      </c>
      <c r="G4">
        <v>0.68210000000000004</v>
      </c>
      <c r="H4">
        <v>120599</v>
      </c>
      <c r="I4">
        <v>56949</v>
      </c>
      <c r="J4">
        <v>0.47220000000000001</v>
      </c>
      <c r="K4">
        <v>134153</v>
      </c>
      <c r="L4">
        <v>66194</v>
      </c>
      <c r="M4">
        <v>0.49340000000000001</v>
      </c>
    </row>
    <row r="5" spans="1:13" x14ac:dyDescent="0.2">
      <c r="A5" s="1">
        <v>43</v>
      </c>
      <c r="B5">
        <v>202204</v>
      </c>
      <c r="C5" t="s">
        <v>55</v>
      </c>
      <c r="D5">
        <v>4498</v>
      </c>
      <c r="E5">
        <v>18052</v>
      </c>
      <c r="F5">
        <v>12985</v>
      </c>
      <c r="G5">
        <v>0.71930000000000005</v>
      </c>
      <c r="H5">
        <v>120599</v>
      </c>
      <c r="I5">
        <v>58226</v>
      </c>
      <c r="J5">
        <v>0.48280000000000001</v>
      </c>
      <c r="K5">
        <v>138651</v>
      </c>
      <c r="L5">
        <v>71211</v>
      </c>
      <c r="M5">
        <v>0.51359999999999995</v>
      </c>
    </row>
    <row r="6" spans="1:13" x14ac:dyDescent="0.2">
      <c r="A6" s="1">
        <v>42</v>
      </c>
      <c r="B6">
        <v>202205</v>
      </c>
      <c r="C6" t="s">
        <v>54</v>
      </c>
      <c r="D6">
        <v>5311</v>
      </c>
      <c r="E6">
        <v>23363</v>
      </c>
      <c r="F6">
        <v>16995</v>
      </c>
      <c r="G6">
        <v>0.72740000000000005</v>
      </c>
      <c r="H6">
        <v>120599</v>
      </c>
      <c r="I6">
        <v>59244</v>
      </c>
      <c r="J6">
        <v>0.49120000000000003</v>
      </c>
      <c r="K6">
        <v>143962</v>
      </c>
      <c r="L6">
        <v>76239</v>
      </c>
      <c r="M6">
        <v>0.52959999999999996</v>
      </c>
    </row>
    <row r="7" spans="1:13" x14ac:dyDescent="0.2">
      <c r="A7" s="1">
        <v>41</v>
      </c>
      <c r="B7">
        <v>202206</v>
      </c>
      <c r="C7" t="s">
        <v>53</v>
      </c>
      <c r="D7">
        <v>5804</v>
      </c>
      <c r="E7">
        <v>29167</v>
      </c>
      <c r="F7">
        <v>21596</v>
      </c>
      <c r="G7">
        <v>0.74039999999999995</v>
      </c>
      <c r="H7">
        <v>120599</v>
      </c>
      <c r="I7">
        <v>60009</v>
      </c>
      <c r="J7">
        <v>0.49759999999999999</v>
      </c>
      <c r="K7">
        <v>149766</v>
      </c>
      <c r="L7">
        <v>81605</v>
      </c>
      <c r="M7">
        <v>0.54490000000000005</v>
      </c>
    </row>
    <row r="8" spans="1:13" x14ac:dyDescent="0.2">
      <c r="A8" s="1">
        <v>40</v>
      </c>
      <c r="B8">
        <v>202207</v>
      </c>
      <c r="C8" t="s">
        <v>52</v>
      </c>
      <c r="D8">
        <v>5110</v>
      </c>
      <c r="E8">
        <v>34277</v>
      </c>
      <c r="F8">
        <v>25640</v>
      </c>
      <c r="G8">
        <v>0.748</v>
      </c>
      <c r="H8">
        <v>120599</v>
      </c>
      <c r="I8">
        <v>60538</v>
      </c>
      <c r="J8">
        <v>0.502</v>
      </c>
      <c r="K8">
        <v>154876</v>
      </c>
      <c r="L8">
        <v>86178</v>
      </c>
      <c r="M8">
        <v>0.55640000000000001</v>
      </c>
    </row>
    <row r="9" spans="1:13" x14ac:dyDescent="0.2">
      <c r="A9" s="1">
        <v>39</v>
      </c>
      <c r="B9">
        <v>202208</v>
      </c>
      <c r="C9" t="s">
        <v>51</v>
      </c>
      <c r="D9">
        <v>6303</v>
      </c>
      <c r="E9">
        <v>40580</v>
      </c>
      <c r="F9">
        <v>30401</v>
      </c>
      <c r="G9">
        <v>0.74919999999999998</v>
      </c>
      <c r="H9">
        <v>120599</v>
      </c>
      <c r="I9">
        <v>61020</v>
      </c>
      <c r="J9">
        <v>0.50600000000000001</v>
      </c>
      <c r="K9">
        <v>161179</v>
      </c>
      <c r="L9">
        <v>91421</v>
      </c>
      <c r="M9">
        <v>0.56720000000000004</v>
      </c>
    </row>
    <row r="10" spans="1:13" x14ac:dyDescent="0.2">
      <c r="A10" s="1">
        <v>38</v>
      </c>
      <c r="B10">
        <v>202209</v>
      </c>
      <c r="C10" t="s">
        <v>50</v>
      </c>
      <c r="D10">
        <v>5755</v>
      </c>
      <c r="E10">
        <v>46335</v>
      </c>
      <c r="F10">
        <v>35168</v>
      </c>
      <c r="G10">
        <v>0.75900000000000001</v>
      </c>
      <c r="H10">
        <v>120599</v>
      </c>
      <c r="I10">
        <v>61437</v>
      </c>
      <c r="J10">
        <v>0.50939999999999996</v>
      </c>
      <c r="K10">
        <v>166934</v>
      </c>
      <c r="L10">
        <v>96605</v>
      </c>
      <c r="M10">
        <v>0.57869999999999999</v>
      </c>
    </row>
    <row r="11" spans="1:13" x14ac:dyDescent="0.2">
      <c r="A11" s="1">
        <v>37</v>
      </c>
      <c r="B11">
        <v>202210</v>
      </c>
      <c r="C11" t="s">
        <v>49</v>
      </c>
      <c r="D11">
        <v>5935</v>
      </c>
      <c r="E11">
        <v>52270</v>
      </c>
      <c r="F11">
        <v>39844</v>
      </c>
      <c r="G11">
        <v>0.76229999999999998</v>
      </c>
      <c r="H11">
        <v>120599</v>
      </c>
      <c r="I11">
        <v>61790</v>
      </c>
      <c r="J11">
        <v>0.51239999999999997</v>
      </c>
      <c r="K11">
        <v>172869</v>
      </c>
      <c r="L11">
        <v>101634</v>
      </c>
      <c r="M11">
        <v>0.58789999999999998</v>
      </c>
    </row>
    <row r="12" spans="1:13" x14ac:dyDescent="0.2">
      <c r="A12" s="1">
        <v>36</v>
      </c>
      <c r="B12">
        <v>202211</v>
      </c>
      <c r="C12" t="s">
        <v>48</v>
      </c>
      <c r="D12">
        <v>5794</v>
      </c>
      <c r="E12">
        <v>58064</v>
      </c>
      <c r="F12">
        <v>44504</v>
      </c>
      <c r="G12">
        <v>0.76649999999999996</v>
      </c>
      <c r="H12">
        <v>120599</v>
      </c>
      <c r="I12">
        <v>62156</v>
      </c>
      <c r="J12">
        <v>0.51539999999999997</v>
      </c>
      <c r="K12">
        <v>178663</v>
      </c>
      <c r="L12">
        <v>106660</v>
      </c>
      <c r="M12">
        <v>0.59699999999999998</v>
      </c>
    </row>
    <row r="13" spans="1:13" x14ac:dyDescent="0.2">
      <c r="A13" s="1">
        <v>35</v>
      </c>
      <c r="B13">
        <v>202212</v>
      </c>
      <c r="C13" t="s">
        <v>47</v>
      </c>
      <c r="D13">
        <v>4453</v>
      </c>
      <c r="E13">
        <v>62517</v>
      </c>
      <c r="F13">
        <v>48563</v>
      </c>
      <c r="G13">
        <v>0.77680000000000005</v>
      </c>
      <c r="H13">
        <v>120599</v>
      </c>
      <c r="I13">
        <v>62456</v>
      </c>
      <c r="J13">
        <v>0.51790000000000003</v>
      </c>
      <c r="K13">
        <v>183116</v>
      </c>
      <c r="L13">
        <v>111019</v>
      </c>
      <c r="M13">
        <v>0.60629999999999995</v>
      </c>
    </row>
    <row r="14" spans="1:13" x14ac:dyDescent="0.2">
      <c r="A14" s="1">
        <v>34</v>
      </c>
      <c r="B14">
        <v>202301</v>
      </c>
      <c r="C14" t="s">
        <v>46</v>
      </c>
      <c r="D14">
        <v>4121</v>
      </c>
      <c r="E14">
        <v>4121</v>
      </c>
      <c r="F14">
        <v>2201</v>
      </c>
      <c r="G14">
        <v>0.53410000000000002</v>
      </c>
      <c r="H14">
        <v>183116</v>
      </c>
      <c r="I14">
        <v>67875</v>
      </c>
      <c r="J14">
        <v>0.37069999999999997</v>
      </c>
      <c r="K14">
        <v>187237</v>
      </c>
      <c r="L14">
        <v>70076</v>
      </c>
      <c r="M14">
        <v>0.37430000000000002</v>
      </c>
    </row>
    <row r="15" spans="1:13" x14ac:dyDescent="0.2">
      <c r="A15" s="1">
        <v>33</v>
      </c>
      <c r="B15">
        <v>202302</v>
      </c>
      <c r="C15" t="s">
        <v>45</v>
      </c>
      <c r="D15">
        <v>4713</v>
      </c>
      <c r="E15">
        <v>8834</v>
      </c>
      <c r="F15">
        <v>5587</v>
      </c>
      <c r="G15">
        <v>0.63239999999999996</v>
      </c>
      <c r="H15">
        <v>183116</v>
      </c>
      <c r="I15">
        <v>72328</v>
      </c>
      <c r="J15">
        <v>0.39500000000000002</v>
      </c>
      <c r="K15">
        <v>191950</v>
      </c>
      <c r="L15">
        <v>77915</v>
      </c>
      <c r="M15">
        <v>0.40589999999999998</v>
      </c>
    </row>
    <row r="16" spans="1:13" x14ac:dyDescent="0.2">
      <c r="A16" s="1">
        <v>32</v>
      </c>
      <c r="B16">
        <v>202303</v>
      </c>
      <c r="C16" t="s">
        <v>44</v>
      </c>
      <c r="D16">
        <v>5293</v>
      </c>
      <c r="E16">
        <v>14127</v>
      </c>
      <c r="F16">
        <v>9541</v>
      </c>
      <c r="G16">
        <v>0.6754</v>
      </c>
      <c r="H16">
        <v>183116</v>
      </c>
      <c r="I16">
        <v>74923</v>
      </c>
      <c r="J16">
        <v>0.40920000000000001</v>
      </c>
      <c r="K16">
        <v>197243</v>
      </c>
      <c r="L16">
        <v>84464</v>
      </c>
      <c r="M16">
        <v>0.42820000000000003</v>
      </c>
    </row>
    <row r="17" spans="1:13" x14ac:dyDescent="0.2">
      <c r="A17" s="1">
        <v>31</v>
      </c>
      <c r="B17">
        <v>202304</v>
      </c>
      <c r="C17" t="s">
        <v>43</v>
      </c>
      <c r="D17">
        <v>4520</v>
      </c>
      <c r="E17">
        <v>18647</v>
      </c>
      <c r="F17">
        <v>12954</v>
      </c>
      <c r="G17">
        <v>0.69469999999999998</v>
      </c>
      <c r="H17">
        <v>183116</v>
      </c>
      <c r="I17">
        <v>76566</v>
      </c>
      <c r="J17">
        <v>0.41810000000000003</v>
      </c>
      <c r="K17">
        <v>201763</v>
      </c>
      <c r="L17">
        <v>89520</v>
      </c>
      <c r="M17">
        <v>0.44369999999999998</v>
      </c>
    </row>
    <row r="18" spans="1:13" x14ac:dyDescent="0.2">
      <c r="A18" s="1">
        <v>30</v>
      </c>
      <c r="B18">
        <v>202305</v>
      </c>
      <c r="C18" t="s">
        <v>42</v>
      </c>
      <c r="D18">
        <v>5653</v>
      </c>
      <c r="E18">
        <v>24300</v>
      </c>
      <c r="F18">
        <v>16902</v>
      </c>
      <c r="G18">
        <v>0.6956</v>
      </c>
      <c r="H18">
        <v>183116</v>
      </c>
      <c r="I18">
        <v>77767</v>
      </c>
      <c r="J18">
        <v>0.42470000000000002</v>
      </c>
      <c r="K18">
        <v>207416</v>
      </c>
      <c r="L18">
        <v>94669</v>
      </c>
      <c r="M18">
        <v>0.45639999999999997</v>
      </c>
    </row>
    <row r="19" spans="1:13" x14ac:dyDescent="0.2">
      <c r="A19" s="1">
        <v>29</v>
      </c>
      <c r="B19">
        <v>202306</v>
      </c>
      <c r="C19" t="s">
        <v>41</v>
      </c>
      <c r="D19">
        <v>4774</v>
      </c>
      <c r="E19">
        <v>29074</v>
      </c>
      <c r="F19">
        <v>21000</v>
      </c>
      <c r="G19">
        <v>0.72230000000000005</v>
      </c>
      <c r="H19">
        <v>183116</v>
      </c>
      <c r="I19">
        <v>78729</v>
      </c>
      <c r="J19">
        <v>0.4299</v>
      </c>
      <c r="K19">
        <v>212190</v>
      </c>
      <c r="L19">
        <v>99729</v>
      </c>
      <c r="M19">
        <v>0.47</v>
      </c>
    </row>
    <row r="20" spans="1:13" x14ac:dyDescent="0.2">
      <c r="A20" s="1">
        <v>28</v>
      </c>
      <c r="B20">
        <v>202307</v>
      </c>
      <c r="C20" t="s">
        <v>40</v>
      </c>
      <c r="D20">
        <v>5983</v>
      </c>
      <c r="E20">
        <v>35057</v>
      </c>
      <c r="F20">
        <v>25249</v>
      </c>
      <c r="G20">
        <v>0.72019999999999995</v>
      </c>
      <c r="H20">
        <v>183116</v>
      </c>
      <c r="I20">
        <v>79564</v>
      </c>
      <c r="J20">
        <v>0.4345</v>
      </c>
      <c r="K20">
        <v>218173</v>
      </c>
      <c r="L20">
        <v>104813</v>
      </c>
      <c r="M20">
        <v>0.48039999999999999</v>
      </c>
    </row>
    <row r="21" spans="1:13" x14ac:dyDescent="0.2">
      <c r="A21" s="1">
        <v>27</v>
      </c>
      <c r="B21">
        <v>202308</v>
      </c>
      <c r="C21" t="s">
        <v>39</v>
      </c>
      <c r="D21">
        <v>5565</v>
      </c>
      <c r="E21">
        <v>40622</v>
      </c>
      <c r="F21">
        <v>29574</v>
      </c>
      <c r="G21">
        <v>0.72799999999999998</v>
      </c>
      <c r="H21">
        <v>183116</v>
      </c>
      <c r="I21">
        <v>80267</v>
      </c>
      <c r="J21">
        <v>0.43830000000000002</v>
      </c>
      <c r="K21">
        <v>223738</v>
      </c>
      <c r="L21">
        <v>109841</v>
      </c>
      <c r="M21">
        <v>0.4909</v>
      </c>
    </row>
    <row r="22" spans="1:13" x14ac:dyDescent="0.2">
      <c r="A22" s="1">
        <v>26</v>
      </c>
      <c r="B22">
        <v>202309</v>
      </c>
      <c r="C22" t="s">
        <v>38</v>
      </c>
      <c r="D22">
        <v>5612</v>
      </c>
      <c r="E22">
        <v>46234</v>
      </c>
      <c r="F22">
        <v>33812</v>
      </c>
      <c r="G22">
        <v>0.73129999999999995</v>
      </c>
      <c r="H22">
        <v>183116</v>
      </c>
      <c r="I22">
        <v>80811</v>
      </c>
      <c r="J22">
        <v>0.44130000000000003</v>
      </c>
      <c r="K22">
        <v>229350</v>
      </c>
      <c r="L22">
        <v>114623</v>
      </c>
      <c r="M22">
        <v>0.49980000000000002</v>
      </c>
    </row>
    <row r="23" spans="1:13" x14ac:dyDescent="0.2">
      <c r="A23" s="1">
        <v>25</v>
      </c>
      <c r="B23">
        <v>202310</v>
      </c>
      <c r="C23" t="s">
        <v>37</v>
      </c>
      <c r="D23">
        <v>5490</v>
      </c>
      <c r="E23">
        <v>51724</v>
      </c>
      <c r="F23">
        <v>37489</v>
      </c>
      <c r="G23">
        <v>0.7248</v>
      </c>
      <c r="H23">
        <v>183116</v>
      </c>
      <c r="I23">
        <v>81276</v>
      </c>
      <c r="J23">
        <v>0.44379999999999997</v>
      </c>
      <c r="K23">
        <v>234840</v>
      </c>
      <c r="L23">
        <v>119016</v>
      </c>
      <c r="M23">
        <v>0.50680000000000003</v>
      </c>
    </row>
    <row r="24" spans="1:13" x14ac:dyDescent="0.2">
      <c r="A24" s="1">
        <v>24</v>
      </c>
      <c r="B24">
        <v>202311</v>
      </c>
      <c r="C24" t="s">
        <v>36</v>
      </c>
      <c r="D24">
        <v>6386</v>
      </c>
      <c r="E24">
        <v>58110</v>
      </c>
      <c r="F24">
        <v>42216</v>
      </c>
      <c r="G24">
        <v>0.72650000000000003</v>
      </c>
      <c r="H24">
        <v>183116</v>
      </c>
      <c r="I24">
        <v>81695</v>
      </c>
      <c r="J24">
        <v>0.4461</v>
      </c>
      <c r="K24">
        <v>241226</v>
      </c>
      <c r="L24">
        <v>123911</v>
      </c>
      <c r="M24">
        <v>0.51370000000000005</v>
      </c>
    </row>
    <row r="25" spans="1:13" x14ac:dyDescent="0.2">
      <c r="A25" s="1">
        <v>23</v>
      </c>
      <c r="B25">
        <v>202312</v>
      </c>
      <c r="C25" t="s">
        <v>35</v>
      </c>
      <c r="D25">
        <v>5406</v>
      </c>
      <c r="E25">
        <v>63516</v>
      </c>
      <c r="F25">
        <v>46615</v>
      </c>
      <c r="G25">
        <v>0.7339</v>
      </c>
      <c r="H25">
        <v>183116</v>
      </c>
      <c r="I25">
        <v>82060</v>
      </c>
      <c r="J25">
        <v>0.4481</v>
      </c>
      <c r="K25">
        <v>246632</v>
      </c>
      <c r="L25">
        <v>128675</v>
      </c>
      <c r="M25">
        <v>0.52170000000000005</v>
      </c>
    </row>
    <row r="26" spans="1:13" x14ac:dyDescent="0.2">
      <c r="A26" s="1">
        <v>22</v>
      </c>
      <c r="B26">
        <v>202401</v>
      </c>
      <c r="C26" t="s">
        <v>34</v>
      </c>
      <c r="D26">
        <v>4381</v>
      </c>
      <c r="E26">
        <v>4381</v>
      </c>
      <c r="F26">
        <v>2221</v>
      </c>
      <c r="G26">
        <v>0.50700000000000001</v>
      </c>
      <c r="H26">
        <v>246632</v>
      </c>
      <c r="I26">
        <v>77206</v>
      </c>
      <c r="J26">
        <v>0.313</v>
      </c>
      <c r="K26">
        <v>251013</v>
      </c>
      <c r="L26">
        <v>79427</v>
      </c>
      <c r="M26">
        <v>0.31640000000000001</v>
      </c>
    </row>
    <row r="27" spans="1:13" x14ac:dyDescent="0.2">
      <c r="A27" s="1">
        <v>21</v>
      </c>
      <c r="B27">
        <v>202402</v>
      </c>
      <c r="C27" t="s">
        <v>33</v>
      </c>
      <c r="D27">
        <v>5864</v>
      </c>
      <c r="E27">
        <v>10245</v>
      </c>
      <c r="F27">
        <v>5779</v>
      </c>
      <c r="G27">
        <v>0.56410000000000005</v>
      </c>
      <c r="H27">
        <v>246632</v>
      </c>
      <c r="I27">
        <v>82730</v>
      </c>
      <c r="J27">
        <v>0.33539999999999998</v>
      </c>
      <c r="K27">
        <v>256877</v>
      </c>
      <c r="L27">
        <v>88509</v>
      </c>
      <c r="M27">
        <v>0.34460000000000002</v>
      </c>
    </row>
    <row r="28" spans="1:13" x14ac:dyDescent="0.2">
      <c r="A28" s="1">
        <v>20</v>
      </c>
      <c r="B28">
        <v>202403</v>
      </c>
      <c r="C28" t="s">
        <v>32</v>
      </c>
      <c r="D28">
        <v>5138</v>
      </c>
      <c r="E28">
        <v>15383</v>
      </c>
      <c r="F28">
        <v>9282</v>
      </c>
      <c r="G28">
        <v>0.60340000000000005</v>
      </c>
      <c r="H28">
        <v>246632</v>
      </c>
      <c r="I28">
        <v>85515</v>
      </c>
      <c r="J28">
        <v>0.34670000000000001</v>
      </c>
      <c r="K28">
        <v>262015</v>
      </c>
      <c r="L28">
        <v>94797</v>
      </c>
      <c r="M28">
        <v>0.36180000000000001</v>
      </c>
    </row>
    <row r="29" spans="1:13" x14ac:dyDescent="0.2">
      <c r="A29" s="1">
        <v>19</v>
      </c>
      <c r="B29">
        <v>202404</v>
      </c>
      <c r="C29" t="s">
        <v>31</v>
      </c>
      <c r="D29">
        <v>5339</v>
      </c>
      <c r="E29">
        <v>20722</v>
      </c>
      <c r="F29">
        <v>12131</v>
      </c>
      <c r="G29">
        <v>0.58540000000000003</v>
      </c>
      <c r="H29">
        <v>246632</v>
      </c>
      <c r="I29">
        <v>87489</v>
      </c>
      <c r="J29">
        <v>0.35470000000000002</v>
      </c>
      <c r="K29">
        <v>267354</v>
      </c>
      <c r="L29">
        <v>99620</v>
      </c>
      <c r="M29">
        <v>0.37259999999999999</v>
      </c>
    </row>
    <row r="30" spans="1:13" x14ac:dyDescent="0.2">
      <c r="A30" s="1">
        <v>18</v>
      </c>
      <c r="B30">
        <v>202405</v>
      </c>
      <c r="C30" t="s">
        <v>30</v>
      </c>
      <c r="D30">
        <v>5386</v>
      </c>
      <c r="E30">
        <v>26108</v>
      </c>
      <c r="F30">
        <v>15160</v>
      </c>
      <c r="G30">
        <v>0.58069999999999999</v>
      </c>
      <c r="H30">
        <v>246632</v>
      </c>
      <c r="I30">
        <v>88979</v>
      </c>
      <c r="J30">
        <v>0.36080000000000001</v>
      </c>
      <c r="K30">
        <v>272740</v>
      </c>
      <c r="L30">
        <v>104139</v>
      </c>
      <c r="M30">
        <v>0.38179999999999997</v>
      </c>
    </row>
    <row r="31" spans="1:13" x14ac:dyDescent="0.2">
      <c r="A31" s="1">
        <v>17</v>
      </c>
      <c r="B31">
        <v>202406</v>
      </c>
      <c r="C31" t="s">
        <v>29</v>
      </c>
      <c r="D31">
        <v>4632</v>
      </c>
      <c r="E31">
        <v>30740</v>
      </c>
      <c r="F31">
        <v>17724</v>
      </c>
      <c r="G31">
        <v>0.5766</v>
      </c>
      <c r="H31">
        <v>246632</v>
      </c>
      <c r="I31">
        <v>90017</v>
      </c>
      <c r="J31">
        <v>0.36499999999999999</v>
      </c>
      <c r="K31">
        <v>277372</v>
      </c>
      <c r="L31">
        <v>107741</v>
      </c>
      <c r="M31">
        <v>0.38840000000000002</v>
      </c>
    </row>
    <row r="32" spans="1:13" x14ac:dyDescent="0.2">
      <c r="A32" s="1">
        <v>16</v>
      </c>
      <c r="B32">
        <v>202407</v>
      </c>
      <c r="C32" t="s">
        <v>28</v>
      </c>
      <c r="D32">
        <v>5580</v>
      </c>
      <c r="E32">
        <v>36320</v>
      </c>
      <c r="F32">
        <v>20987</v>
      </c>
      <c r="G32">
        <v>0.57779999999999998</v>
      </c>
      <c r="H32">
        <v>246632</v>
      </c>
      <c r="I32">
        <v>90968</v>
      </c>
      <c r="J32">
        <v>0.36880000000000002</v>
      </c>
      <c r="K32">
        <v>282952</v>
      </c>
      <c r="L32">
        <v>111955</v>
      </c>
      <c r="M32">
        <v>0.3957</v>
      </c>
    </row>
    <row r="33" spans="1:16" x14ac:dyDescent="0.2">
      <c r="A33" s="1">
        <v>15</v>
      </c>
      <c r="B33">
        <v>202408</v>
      </c>
      <c r="C33" t="s">
        <v>27</v>
      </c>
      <c r="D33">
        <v>5240</v>
      </c>
      <c r="E33">
        <v>41560</v>
      </c>
      <c r="F33">
        <v>24050</v>
      </c>
      <c r="G33">
        <v>0.57869999999999999</v>
      </c>
      <c r="H33">
        <v>246632</v>
      </c>
      <c r="I33">
        <v>91732</v>
      </c>
      <c r="J33">
        <v>0.37190000000000001</v>
      </c>
      <c r="K33">
        <v>288192</v>
      </c>
      <c r="L33">
        <v>115782</v>
      </c>
      <c r="M33">
        <v>0.40179999999999999</v>
      </c>
    </row>
    <row r="34" spans="1:16" x14ac:dyDescent="0.2">
      <c r="A34" s="1">
        <v>14</v>
      </c>
      <c r="B34">
        <v>202409</v>
      </c>
      <c r="C34" t="s">
        <v>26</v>
      </c>
      <c r="D34">
        <v>6023</v>
      </c>
      <c r="E34">
        <v>47583</v>
      </c>
      <c r="F34">
        <v>27744</v>
      </c>
      <c r="G34">
        <v>0.58309999999999995</v>
      </c>
      <c r="H34">
        <v>246632</v>
      </c>
      <c r="I34">
        <v>92347</v>
      </c>
      <c r="J34">
        <v>0.37440000000000001</v>
      </c>
      <c r="K34">
        <v>294215</v>
      </c>
      <c r="L34">
        <v>119348</v>
      </c>
      <c r="M34">
        <v>0.40560000000000002</v>
      </c>
    </row>
    <row r="35" spans="1:16" x14ac:dyDescent="0.2">
      <c r="A35" s="1">
        <v>13</v>
      </c>
      <c r="B35">
        <v>202410</v>
      </c>
      <c r="C35" t="s">
        <v>25</v>
      </c>
      <c r="D35">
        <v>5728</v>
      </c>
      <c r="E35">
        <v>53311</v>
      </c>
      <c r="F35">
        <v>31092</v>
      </c>
      <c r="G35">
        <v>0.58320000000000005</v>
      </c>
      <c r="H35">
        <v>246632</v>
      </c>
      <c r="I35">
        <v>92930</v>
      </c>
      <c r="J35">
        <v>0.37680000000000002</v>
      </c>
      <c r="K35">
        <v>299943</v>
      </c>
      <c r="L35">
        <v>124022</v>
      </c>
      <c r="M35">
        <v>0.41349999999999998</v>
      </c>
    </row>
    <row r="36" spans="1:16" x14ac:dyDescent="0.2">
      <c r="A36" s="1">
        <v>12</v>
      </c>
      <c r="B36">
        <v>202411</v>
      </c>
      <c r="C36" t="s">
        <v>24</v>
      </c>
      <c r="D36">
        <v>5221</v>
      </c>
      <c r="E36">
        <v>58532</v>
      </c>
      <c r="F36">
        <v>34340</v>
      </c>
      <c r="G36">
        <v>0.5867</v>
      </c>
      <c r="H36">
        <v>246632</v>
      </c>
      <c r="I36">
        <v>93436</v>
      </c>
      <c r="J36">
        <v>0.37880000000000003</v>
      </c>
      <c r="K36">
        <v>305164</v>
      </c>
      <c r="L36">
        <v>127965</v>
      </c>
      <c r="M36">
        <v>0.41930000000000001</v>
      </c>
    </row>
    <row r="37" spans="1:16" x14ac:dyDescent="0.2">
      <c r="A37" s="1">
        <v>11</v>
      </c>
      <c r="B37">
        <v>202412</v>
      </c>
      <c r="C37" t="s">
        <v>23</v>
      </c>
      <c r="D37">
        <v>4503</v>
      </c>
      <c r="E37">
        <v>63035</v>
      </c>
      <c r="F37">
        <v>37912</v>
      </c>
      <c r="G37">
        <v>0.60140000000000005</v>
      </c>
      <c r="H37">
        <v>246632</v>
      </c>
      <c r="I37">
        <v>93859</v>
      </c>
      <c r="J37">
        <v>0.38059999999999999</v>
      </c>
      <c r="K37">
        <v>309667</v>
      </c>
      <c r="L37">
        <v>131771</v>
      </c>
      <c r="M37">
        <v>0.42549999999999999</v>
      </c>
    </row>
    <row r="38" spans="1:16" x14ac:dyDescent="0.2">
      <c r="A38" s="1">
        <v>10</v>
      </c>
      <c r="B38">
        <v>202501</v>
      </c>
      <c r="C38" t="s">
        <v>22</v>
      </c>
      <c r="D38">
        <v>4007</v>
      </c>
      <c r="E38">
        <v>4007</v>
      </c>
      <c r="F38">
        <v>1532</v>
      </c>
      <c r="G38">
        <v>0.38229999999999997</v>
      </c>
      <c r="H38">
        <v>309667</v>
      </c>
      <c r="I38">
        <v>79147</v>
      </c>
      <c r="J38">
        <v>0.25559999999999999</v>
      </c>
      <c r="K38">
        <v>313674</v>
      </c>
      <c r="L38">
        <v>80679</v>
      </c>
      <c r="M38">
        <v>0.25719999999999998</v>
      </c>
    </row>
    <row r="39" spans="1:16" x14ac:dyDescent="0.2">
      <c r="A39" s="1">
        <v>9</v>
      </c>
      <c r="B39">
        <v>202502</v>
      </c>
      <c r="C39" t="s">
        <v>21</v>
      </c>
      <c r="D39">
        <v>4296</v>
      </c>
      <c r="E39">
        <v>8303</v>
      </c>
      <c r="F39">
        <v>3760</v>
      </c>
      <c r="G39">
        <v>0.45279999999999998</v>
      </c>
      <c r="H39">
        <v>309667</v>
      </c>
      <c r="I39">
        <v>84511</v>
      </c>
      <c r="J39">
        <v>0.27289999999999998</v>
      </c>
      <c r="K39">
        <v>317970</v>
      </c>
      <c r="L39">
        <v>88271</v>
      </c>
      <c r="M39">
        <v>0.27760000000000001</v>
      </c>
    </row>
    <row r="40" spans="1:16" x14ac:dyDescent="0.2">
      <c r="A40" s="1">
        <v>8</v>
      </c>
      <c r="B40">
        <v>202503</v>
      </c>
      <c r="C40" t="s">
        <v>20</v>
      </c>
      <c r="D40">
        <v>4731</v>
      </c>
      <c r="E40">
        <v>13034</v>
      </c>
      <c r="F40">
        <v>6196</v>
      </c>
      <c r="G40">
        <v>0.47539999999999999</v>
      </c>
      <c r="H40">
        <v>309667</v>
      </c>
      <c r="I40">
        <v>87526</v>
      </c>
      <c r="J40">
        <v>0.28260000000000002</v>
      </c>
      <c r="K40">
        <v>322701</v>
      </c>
      <c r="L40">
        <v>93722</v>
      </c>
      <c r="M40">
        <v>0.29039999999999999</v>
      </c>
    </row>
    <row r="41" spans="1:16" x14ac:dyDescent="0.2">
      <c r="A41" s="1">
        <v>7</v>
      </c>
      <c r="B41">
        <v>202504</v>
      </c>
      <c r="C41" t="s">
        <v>19</v>
      </c>
      <c r="D41">
        <v>5104</v>
      </c>
      <c r="E41">
        <v>18138</v>
      </c>
      <c r="F41">
        <v>9031</v>
      </c>
      <c r="G41">
        <v>0.49790000000000001</v>
      </c>
      <c r="H41">
        <v>309667</v>
      </c>
      <c r="I41">
        <v>89479</v>
      </c>
      <c r="J41">
        <v>0.28899999999999998</v>
      </c>
      <c r="K41">
        <v>327805</v>
      </c>
      <c r="L41">
        <v>98510</v>
      </c>
      <c r="M41">
        <v>0.30049999999999999</v>
      </c>
    </row>
    <row r="42" spans="1:16" x14ac:dyDescent="0.2">
      <c r="A42" s="1">
        <v>6</v>
      </c>
      <c r="B42">
        <v>202505</v>
      </c>
      <c r="C42" t="s">
        <v>18</v>
      </c>
      <c r="D42">
        <v>6337</v>
      </c>
      <c r="E42">
        <v>24475</v>
      </c>
      <c r="F42">
        <v>12327</v>
      </c>
      <c r="G42">
        <v>0.50370000000000004</v>
      </c>
      <c r="H42">
        <v>309667</v>
      </c>
      <c r="I42">
        <v>91225</v>
      </c>
      <c r="J42">
        <v>0.29459999999999997</v>
      </c>
      <c r="K42">
        <v>334142</v>
      </c>
      <c r="L42">
        <v>103552</v>
      </c>
      <c r="M42">
        <v>0.30990000000000001</v>
      </c>
    </row>
    <row r="43" spans="1:16" x14ac:dyDescent="0.2">
      <c r="A43" s="1">
        <v>5</v>
      </c>
      <c r="B43">
        <v>202506</v>
      </c>
      <c r="C43" t="s">
        <v>17</v>
      </c>
      <c r="D43">
        <v>6191</v>
      </c>
      <c r="E43">
        <v>30666</v>
      </c>
      <c r="F43">
        <v>15268</v>
      </c>
      <c r="G43">
        <v>0.49790000000000001</v>
      </c>
      <c r="H43">
        <v>309667</v>
      </c>
      <c r="I43">
        <v>92331</v>
      </c>
      <c r="J43">
        <v>0.29820000000000002</v>
      </c>
      <c r="K43">
        <v>340333</v>
      </c>
      <c r="L43">
        <v>107599</v>
      </c>
      <c r="M43">
        <v>0.31619999999999998</v>
      </c>
    </row>
    <row r="44" spans="1:16" x14ac:dyDescent="0.2">
      <c r="A44" s="1">
        <v>4</v>
      </c>
      <c r="B44">
        <v>202507</v>
      </c>
      <c r="C44" t="s">
        <v>16</v>
      </c>
      <c r="D44">
        <v>7876</v>
      </c>
      <c r="E44">
        <v>38542</v>
      </c>
      <c r="F44">
        <v>18936</v>
      </c>
      <c r="G44">
        <v>0.49130000000000001</v>
      </c>
      <c r="H44">
        <v>309667</v>
      </c>
      <c r="I44">
        <v>93317</v>
      </c>
      <c r="J44">
        <v>0.30130000000000001</v>
      </c>
      <c r="K44">
        <v>348209</v>
      </c>
      <c r="L44">
        <v>112253</v>
      </c>
      <c r="M44">
        <v>0.32240000000000002</v>
      </c>
    </row>
    <row r="45" spans="1:16" x14ac:dyDescent="0.2">
      <c r="A45" s="1">
        <v>3</v>
      </c>
      <c r="B45">
        <v>202508</v>
      </c>
      <c r="C45" t="s">
        <v>15</v>
      </c>
      <c r="D45">
        <v>10621</v>
      </c>
      <c r="E45">
        <v>49163</v>
      </c>
      <c r="F45">
        <v>22995</v>
      </c>
      <c r="G45">
        <v>0.4677</v>
      </c>
      <c r="H45">
        <v>309667</v>
      </c>
      <c r="I45">
        <v>94168</v>
      </c>
      <c r="J45">
        <v>0.30409999999999998</v>
      </c>
      <c r="K45">
        <v>358830</v>
      </c>
      <c r="L45">
        <v>117163</v>
      </c>
      <c r="M45">
        <v>0.32650000000000001</v>
      </c>
      <c r="P45" s="2"/>
    </row>
    <row r="46" spans="1:16" x14ac:dyDescent="0.2">
      <c r="A46" s="1">
        <v>2</v>
      </c>
      <c r="B46">
        <v>202509</v>
      </c>
      <c r="C46" t="s">
        <v>14</v>
      </c>
      <c r="D46">
        <v>18355</v>
      </c>
      <c r="E46">
        <v>67518</v>
      </c>
      <c r="F46">
        <v>27900</v>
      </c>
      <c r="G46">
        <v>0.41320000000000001</v>
      </c>
      <c r="H46">
        <v>309667</v>
      </c>
      <c r="I46">
        <v>94927</v>
      </c>
      <c r="J46">
        <v>0.30649999999999999</v>
      </c>
      <c r="K46">
        <v>377185</v>
      </c>
      <c r="L46">
        <v>122827</v>
      </c>
      <c r="M46">
        <v>0.3256</v>
      </c>
      <c r="P46" s="2"/>
    </row>
    <row r="47" spans="1:16" x14ac:dyDescent="0.2">
      <c r="A47" s="1">
        <v>1</v>
      </c>
      <c r="B47">
        <v>202510</v>
      </c>
      <c r="C47" t="s">
        <v>13</v>
      </c>
      <c r="D47">
        <v>16180</v>
      </c>
      <c r="E47">
        <v>83698</v>
      </c>
      <c r="F47">
        <v>32665</v>
      </c>
      <c r="G47">
        <v>0.39029999999999998</v>
      </c>
      <c r="H47">
        <v>309667</v>
      </c>
      <c r="I47">
        <v>95557</v>
      </c>
      <c r="J47">
        <v>0.30859999999999999</v>
      </c>
      <c r="K47">
        <v>393365</v>
      </c>
      <c r="L47">
        <v>128222</v>
      </c>
      <c r="M47">
        <v>0.32600000000000001</v>
      </c>
    </row>
    <row r="48" spans="1:16" x14ac:dyDescent="0.2">
      <c r="A48" s="1">
        <v>0</v>
      </c>
      <c r="B48">
        <v>202511</v>
      </c>
      <c r="C48" t="s">
        <v>12</v>
      </c>
      <c r="D48">
        <v>14983</v>
      </c>
      <c r="E48">
        <v>98681</v>
      </c>
      <c r="F48">
        <v>37253</v>
      </c>
      <c r="G48">
        <v>0.3775</v>
      </c>
      <c r="H48">
        <v>309667</v>
      </c>
      <c r="I48">
        <v>96086</v>
      </c>
      <c r="J48">
        <v>0.31030000000000002</v>
      </c>
      <c r="K48">
        <v>408348</v>
      </c>
      <c r="L48">
        <v>133339</v>
      </c>
      <c r="M48">
        <v>0.32650000000000001</v>
      </c>
    </row>
  </sheetData>
  <sortState xmlns:xlrd2="http://schemas.microsoft.com/office/spreadsheetml/2017/richdata2" ref="A2:M48">
    <sortCondition ref="C1:C4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97C1-E34E-1344-B69B-116A4E4A3467}">
  <dimension ref="U6"/>
  <sheetViews>
    <sheetView topLeftCell="A6" workbookViewId="0">
      <selection activeCell="E15" sqref="E15"/>
    </sheetView>
  </sheetViews>
  <sheetFormatPr baseColWidth="10" defaultRowHeight="15" x14ac:dyDescent="0.2"/>
  <sheetData>
    <row r="6" spans="21:21" x14ac:dyDescent="0.2">
      <c r="U6" t="s">
        <v>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D4D2-E35C-6A41-9DA4-59EC953CE95E}">
  <dimension ref="C52:F56"/>
  <sheetViews>
    <sheetView showGridLines="0" topLeftCell="A22" zoomScale="120" zoomScaleNormal="120" workbookViewId="0">
      <selection activeCell="F54" sqref="F54"/>
    </sheetView>
  </sheetViews>
  <sheetFormatPr baseColWidth="10" defaultRowHeight="15" x14ac:dyDescent="0.2"/>
  <sheetData>
    <row r="52" spans="3:6" ht="16" x14ac:dyDescent="0.2">
      <c r="C52" s="7" t="s">
        <v>59</v>
      </c>
      <c r="D52" s="7" t="s">
        <v>60</v>
      </c>
    </row>
    <row r="53" spans="3:6" x14ac:dyDescent="0.2">
      <c r="C53" s="5">
        <v>131771</v>
      </c>
      <c r="D53" s="5">
        <v>1500000</v>
      </c>
      <c r="F53" s="9">
        <f>C53*5</f>
        <v>658855</v>
      </c>
    </row>
    <row r="54" spans="3:6" x14ac:dyDescent="0.2">
      <c r="C54" s="3"/>
      <c r="D54" s="3"/>
    </row>
    <row r="55" spans="3:6" ht="16" x14ac:dyDescent="0.2">
      <c r="C55" s="8" t="s">
        <v>61</v>
      </c>
      <c r="D55" s="5">
        <f>D53-C53</f>
        <v>1368229</v>
      </c>
    </row>
    <row r="56" spans="3:6" x14ac:dyDescent="0.2">
      <c r="C56" s="3"/>
      <c r="D56" s="6">
        <f>D55/C53</f>
        <v>10.383384811529092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284D-E896-D346-936D-1FAE2E8CB070}">
  <dimension ref="C45:D48"/>
  <sheetViews>
    <sheetView showGridLines="0" topLeftCell="A19" zoomScale="130" zoomScaleNormal="130" workbookViewId="0">
      <selection activeCell="C48" sqref="C48:D48"/>
    </sheetView>
  </sheetViews>
  <sheetFormatPr baseColWidth="10" defaultRowHeight="15" x14ac:dyDescent="0.2"/>
  <cols>
    <col min="3" max="3" width="14.33203125" customWidth="1"/>
    <col min="4" max="4" width="15.6640625" customWidth="1"/>
  </cols>
  <sheetData>
    <row r="45" spans="3:4" ht="37" customHeight="1" x14ac:dyDescent="0.2">
      <c r="C45" s="7" t="s">
        <v>62</v>
      </c>
      <c r="D45" s="7" t="s">
        <v>65</v>
      </c>
    </row>
    <row r="46" spans="3:4" x14ac:dyDescent="0.2">
      <c r="C46" s="4">
        <v>0.32</v>
      </c>
      <c r="D46" s="5">
        <v>1500000</v>
      </c>
    </row>
    <row r="47" spans="3:4" x14ac:dyDescent="0.2">
      <c r="C47" s="3"/>
      <c r="D47" s="3"/>
    </row>
    <row r="48" spans="3:4" ht="23" customHeight="1" x14ac:dyDescent="0.2">
      <c r="C48" s="7" t="s">
        <v>63</v>
      </c>
      <c r="D48" s="5">
        <f>(1*D46)/C46</f>
        <v>4687500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6143-030C-3640-BB55-9ECCB5A3938F}">
  <dimension ref="A1:M78"/>
  <sheetViews>
    <sheetView topLeftCell="A14" workbookViewId="0">
      <selection activeCell="D55" sqref="D55"/>
    </sheetView>
  </sheetViews>
  <sheetFormatPr baseColWidth="10" defaultRowHeight="15" x14ac:dyDescent="0.2"/>
  <cols>
    <col min="1" max="1" width="10.83203125" style="10"/>
  </cols>
  <sheetData>
    <row r="1" spans="1:5" x14ac:dyDescent="0.2">
      <c r="A1" s="1" t="s">
        <v>67</v>
      </c>
      <c r="B1" s="1" t="s">
        <v>66</v>
      </c>
      <c r="C1" t="s">
        <v>68</v>
      </c>
      <c r="D1" t="s">
        <v>70</v>
      </c>
      <c r="E1" t="s">
        <v>69</v>
      </c>
    </row>
    <row r="2" spans="1:5" x14ac:dyDescent="0.2">
      <c r="A2" s="11" t="s">
        <v>58</v>
      </c>
      <c r="B2">
        <v>123989</v>
      </c>
      <c r="E2">
        <v>3390</v>
      </c>
    </row>
    <row r="3" spans="1:5" x14ac:dyDescent="0.2">
      <c r="A3" s="11" t="s">
        <v>57</v>
      </c>
      <c r="B3">
        <v>128393</v>
      </c>
      <c r="E3">
        <v>4404</v>
      </c>
    </row>
    <row r="4" spans="1:5" x14ac:dyDescent="0.2">
      <c r="A4" s="11" t="s">
        <v>56</v>
      </c>
      <c r="B4">
        <v>134153</v>
      </c>
      <c r="E4">
        <v>5760</v>
      </c>
    </row>
    <row r="5" spans="1:5" x14ac:dyDescent="0.2">
      <c r="A5" s="11" t="s">
        <v>55</v>
      </c>
      <c r="B5">
        <v>138651</v>
      </c>
      <c r="E5">
        <v>4498</v>
      </c>
    </row>
    <row r="6" spans="1:5" x14ac:dyDescent="0.2">
      <c r="A6" s="11" t="s">
        <v>54</v>
      </c>
      <c r="B6">
        <v>143962</v>
      </c>
      <c r="E6">
        <v>5311</v>
      </c>
    </row>
    <row r="7" spans="1:5" x14ac:dyDescent="0.2">
      <c r="A7" s="11" t="s">
        <v>53</v>
      </c>
      <c r="B7">
        <v>149766</v>
      </c>
      <c r="E7">
        <v>5804</v>
      </c>
    </row>
    <row r="8" spans="1:5" x14ac:dyDescent="0.2">
      <c r="A8" s="11" t="s">
        <v>52</v>
      </c>
      <c r="B8">
        <v>154876</v>
      </c>
      <c r="E8">
        <v>5110</v>
      </c>
    </row>
    <row r="9" spans="1:5" x14ac:dyDescent="0.2">
      <c r="A9" s="11" t="s">
        <v>51</v>
      </c>
      <c r="B9">
        <v>161179</v>
      </c>
      <c r="E9">
        <v>6303</v>
      </c>
    </row>
    <row r="10" spans="1:5" x14ac:dyDescent="0.2">
      <c r="A10" s="11" t="s">
        <v>50</v>
      </c>
      <c r="B10">
        <v>166934</v>
      </c>
      <c r="E10">
        <v>5755</v>
      </c>
    </row>
    <row r="11" spans="1:5" x14ac:dyDescent="0.2">
      <c r="A11" s="11" t="s">
        <v>49</v>
      </c>
      <c r="B11">
        <v>172869</v>
      </c>
      <c r="E11">
        <v>5935</v>
      </c>
    </row>
    <row r="12" spans="1:5" x14ac:dyDescent="0.2">
      <c r="A12" s="11" t="s">
        <v>48</v>
      </c>
      <c r="B12">
        <v>178663</v>
      </c>
      <c r="E12">
        <v>5794</v>
      </c>
    </row>
    <row r="13" spans="1:5" x14ac:dyDescent="0.2">
      <c r="A13" s="11" t="s">
        <v>47</v>
      </c>
      <c r="B13">
        <v>183116</v>
      </c>
      <c r="E13">
        <v>4453</v>
      </c>
    </row>
    <row r="14" spans="1:5" x14ac:dyDescent="0.2">
      <c r="A14" s="11" t="s">
        <v>46</v>
      </c>
      <c r="B14">
        <v>187237</v>
      </c>
      <c r="E14">
        <v>4121</v>
      </c>
    </row>
    <row r="15" spans="1:5" x14ac:dyDescent="0.2">
      <c r="A15" s="11" t="s">
        <v>45</v>
      </c>
      <c r="B15">
        <v>191950</v>
      </c>
      <c r="E15">
        <v>4713</v>
      </c>
    </row>
    <row r="16" spans="1:5" x14ac:dyDescent="0.2">
      <c r="A16" s="11" t="s">
        <v>44</v>
      </c>
      <c r="B16">
        <v>197243</v>
      </c>
      <c r="E16">
        <v>5293</v>
      </c>
    </row>
    <row r="17" spans="1:5" x14ac:dyDescent="0.2">
      <c r="A17" s="11" t="s">
        <v>43</v>
      </c>
      <c r="B17">
        <v>201763</v>
      </c>
      <c r="E17">
        <v>4520</v>
      </c>
    </row>
    <row r="18" spans="1:5" x14ac:dyDescent="0.2">
      <c r="A18" s="11" t="s">
        <v>42</v>
      </c>
      <c r="B18">
        <v>207416</v>
      </c>
      <c r="E18">
        <v>5653</v>
      </c>
    </row>
    <row r="19" spans="1:5" x14ac:dyDescent="0.2">
      <c r="A19" s="11" t="s">
        <v>41</v>
      </c>
      <c r="B19">
        <v>212190</v>
      </c>
      <c r="E19">
        <v>4774</v>
      </c>
    </row>
    <row r="20" spans="1:5" x14ac:dyDescent="0.2">
      <c r="A20" s="11" t="s">
        <v>40</v>
      </c>
      <c r="B20">
        <v>218173</v>
      </c>
      <c r="E20">
        <v>5983</v>
      </c>
    </row>
    <row r="21" spans="1:5" x14ac:dyDescent="0.2">
      <c r="A21" s="11" t="s">
        <v>39</v>
      </c>
      <c r="B21">
        <v>223738</v>
      </c>
      <c r="E21">
        <v>5565</v>
      </c>
    </row>
    <row r="22" spans="1:5" x14ac:dyDescent="0.2">
      <c r="A22" s="11" t="s">
        <v>38</v>
      </c>
      <c r="B22">
        <v>229350</v>
      </c>
      <c r="E22">
        <v>5612</v>
      </c>
    </row>
    <row r="23" spans="1:5" x14ac:dyDescent="0.2">
      <c r="A23" s="11" t="s">
        <v>37</v>
      </c>
      <c r="B23">
        <v>234840</v>
      </c>
      <c r="E23">
        <v>5490</v>
      </c>
    </row>
    <row r="24" spans="1:5" x14ac:dyDescent="0.2">
      <c r="A24" s="11" t="s">
        <v>36</v>
      </c>
      <c r="B24">
        <v>241226</v>
      </c>
      <c r="E24">
        <v>6386</v>
      </c>
    </row>
    <row r="25" spans="1:5" x14ac:dyDescent="0.2">
      <c r="A25" s="11" t="s">
        <v>35</v>
      </c>
      <c r="B25">
        <v>246632</v>
      </c>
      <c r="E25">
        <v>5406</v>
      </c>
    </row>
    <row r="26" spans="1:5" x14ac:dyDescent="0.2">
      <c r="A26" s="11" t="s">
        <v>34</v>
      </c>
      <c r="B26">
        <v>251013</v>
      </c>
      <c r="E26">
        <v>4381</v>
      </c>
    </row>
    <row r="27" spans="1:5" x14ac:dyDescent="0.2">
      <c r="A27" s="11" t="s">
        <v>33</v>
      </c>
      <c r="B27">
        <v>256877</v>
      </c>
      <c r="E27">
        <v>5864</v>
      </c>
    </row>
    <row r="28" spans="1:5" x14ac:dyDescent="0.2">
      <c r="A28" s="11" t="s">
        <v>32</v>
      </c>
      <c r="B28">
        <v>262015</v>
      </c>
      <c r="E28">
        <v>5138</v>
      </c>
    </row>
    <row r="29" spans="1:5" x14ac:dyDescent="0.2">
      <c r="A29" s="11" t="s">
        <v>31</v>
      </c>
      <c r="B29">
        <v>267354</v>
      </c>
      <c r="E29">
        <v>5339</v>
      </c>
    </row>
    <row r="30" spans="1:5" x14ac:dyDescent="0.2">
      <c r="A30" s="11" t="s">
        <v>30</v>
      </c>
      <c r="B30">
        <v>272740</v>
      </c>
      <c r="E30">
        <v>5386</v>
      </c>
    </row>
    <row r="31" spans="1:5" x14ac:dyDescent="0.2">
      <c r="A31" s="11" t="s">
        <v>29</v>
      </c>
      <c r="B31">
        <v>277372</v>
      </c>
      <c r="E31">
        <v>4632</v>
      </c>
    </row>
    <row r="32" spans="1:5" x14ac:dyDescent="0.2">
      <c r="A32" s="11" t="s">
        <v>28</v>
      </c>
      <c r="B32">
        <v>282952</v>
      </c>
      <c r="E32">
        <v>5580</v>
      </c>
    </row>
    <row r="33" spans="1:5" x14ac:dyDescent="0.2">
      <c r="A33" s="11" t="s">
        <v>27</v>
      </c>
      <c r="B33">
        <v>288192</v>
      </c>
      <c r="E33">
        <v>5240</v>
      </c>
    </row>
    <row r="34" spans="1:5" x14ac:dyDescent="0.2">
      <c r="A34" s="11" t="s">
        <v>26</v>
      </c>
      <c r="B34">
        <v>294215</v>
      </c>
      <c r="E34">
        <v>6023</v>
      </c>
    </row>
    <row r="35" spans="1:5" x14ac:dyDescent="0.2">
      <c r="A35" s="11" t="s">
        <v>25</v>
      </c>
      <c r="B35">
        <v>299943</v>
      </c>
      <c r="E35">
        <v>5728</v>
      </c>
    </row>
    <row r="36" spans="1:5" x14ac:dyDescent="0.2">
      <c r="A36" s="11" t="s">
        <v>24</v>
      </c>
      <c r="B36">
        <v>305164</v>
      </c>
      <c r="E36">
        <v>5221</v>
      </c>
    </row>
    <row r="37" spans="1:5" x14ac:dyDescent="0.2">
      <c r="A37" s="11" t="s">
        <v>23</v>
      </c>
      <c r="B37">
        <v>309667</v>
      </c>
      <c r="E37">
        <v>4503</v>
      </c>
    </row>
    <row r="38" spans="1:5" x14ac:dyDescent="0.2">
      <c r="A38" s="11" t="s">
        <v>22</v>
      </c>
      <c r="B38">
        <v>313674</v>
      </c>
      <c r="E38">
        <v>4007</v>
      </c>
    </row>
    <row r="39" spans="1:5" x14ac:dyDescent="0.2">
      <c r="A39" s="11" t="s">
        <v>21</v>
      </c>
      <c r="B39">
        <v>317970</v>
      </c>
      <c r="E39">
        <v>4296</v>
      </c>
    </row>
    <row r="40" spans="1:5" x14ac:dyDescent="0.2">
      <c r="A40" s="11" t="s">
        <v>20</v>
      </c>
      <c r="B40">
        <v>322701</v>
      </c>
      <c r="E40">
        <v>4731</v>
      </c>
    </row>
    <row r="41" spans="1:5" x14ac:dyDescent="0.2">
      <c r="A41" s="11" t="s">
        <v>19</v>
      </c>
      <c r="B41">
        <v>327805</v>
      </c>
      <c r="E41">
        <v>5104</v>
      </c>
    </row>
    <row r="42" spans="1:5" x14ac:dyDescent="0.2">
      <c r="A42" s="11" t="s">
        <v>18</v>
      </c>
      <c r="B42">
        <v>334142</v>
      </c>
      <c r="E42">
        <v>6337</v>
      </c>
    </row>
    <row r="43" spans="1:5" x14ac:dyDescent="0.2">
      <c r="A43" s="11" t="s">
        <v>17</v>
      </c>
      <c r="B43">
        <v>340333</v>
      </c>
      <c r="E43">
        <v>6191</v>
      </c>
    </row>
    <row r="44" spans="1:5" x14ac:dyDescent="0.2">
      <c r="A44" s="11" t="s">
        <v>16</v>
      </c>
      <c r="B44">
        <v>348209</v>
      </c>
      <c r="E44">
        <v>7876</v>
      </c>
    </row>
    <row r="45" spans="1:5" x14ac:dyDescent="0.2">
      <c r="A45" s="11" t="s">
        <v>15</v>
      </c>
      <c r="B45">
        <v>358830</v>
      </c>
      <c r="E45">
        <v>10621</v>
      </c>
    </row>
    <row r="46" spans="1:5" x14ac:dyDescent="0.2">
      <c r="A46" s="11">
        <v>45901</v>
      </c>
      <c r="B46">
        <v>377185</v>
      </c>
      <c r="E46">
        <v>18355</v>
      </c>
    </row>
    <row r="47" spans="1:5" x14ac:dyDescent="0.2">
      <c r="A47" s="11">
        <v>45931</v>
      </c>
      <c r="B47">
        <v>393365</v>
      </c>
      <c r="E47">
        <v>16180</v>
      </c>
    </row>
    <row r="48" spans="1:5" x14ac:dyDescent="0.2">
      <c r="A48" s="11">
        <v>45962</v>
      </c>
      <c r="B48">
        <v>408348</v>
      </c>
      <c r="E48">
        <v>14983</v>
      </c>
    </row>
    <row r="49" spans="1:4" x14ac:dyDescent="0.2">
      <c r="A49" s="11">
        <v>45992</v>
      </c>
      <c r="C49">
        <f>B48+D49</f>
        <v>579514.07999999996</v>
      </c>
      <c r="D49">
        <v>171166.07999999999</v>
      </c>
    </row>
    <row r="50" spans="1:4" x14ac:dyDescent="0.2">
      <c r="A50" s="11">
        <v>46023</v>
      </c>
      <c r="C50">
        <f>C49+D50</f>
        <v>750680.15999999992</v>
      </c>
      <c r="D50">
        <v>171166.07999999999</v>
      </c>
    </row>
    <row r="51" spans="1:4" x14ac:dyDescent="0.2">
      <c r="A51" s="11">
        <v>46054</v>
      </c>
      <c r="C51">
        <f t="shared" ref="C51:C73" si="0">C50+D51</f>
        <v>921846.23999999987</v>
      </c>
      <c r="D51">
        <v>171166.07999999999</v>
      </c>
    </row>
    <row r="52" spans="1:4" x14ac:dyDescent="0.2">
      <c r="A52" s="11">
        <v>46082</v>
      </c>
      <c r="C52">
        <f t="shared" si="0"/>
        <v>1093012.3199999998</v>
      </c>
      <c r="D52">
        <v>171166.07999999999</v>
      </c>
    </row>
    <row r="53" spans="1:4" x14ac:dyDescent="0.2">
      <c r="A53" s="11">
        <v>46113</v>
      </c>
      <c r="C53">
        <f t="shared" si="0"/>
        <v>1264178.3999999999</v>
      </c>
      <c r="D53">
        <v>171166.07999999999</v>
      </c>
    </row>
    <row r="54" spans="1:4" x14ac:dyDescent="0.2">
      <c r="A54" s="11">
        <v>46143</v>
      </c>
      <c r="C54">
        <f t="shared" si="0"/>
        <v>1435344.48</v>
      </c>
      <c r="D54">
        <v>171166.07999999999</v>
      </c>
    </row>
    <row r="55" spans="1:4" x14ac:dyDescent="0.2">
      <c r="A55" s="11">
        <v>46174</v>
      </c>
      <c r="C55">
        <f t="shared" si="0"/>
        <v>1606510.56</v>
      </c>
      <c r="D55">
        <v>171166.07999999999</v>
      </c>
    </row>
    <row r="56" spans="1:4" x14ac:dyDescent="0.2">
      <c r="A56" s="11">
        <v>46204</v>
      </c>
      <c r="C56">
        <f t="shared" si="0"/>
        <v>1777676.6400000001</v>
      </c>
      <c r="D56">
        <v>171166.07999999999</v>
      </c>
    </row>
    <row r="57" spans="1:4" x14ac:dyDescent="0.2">
      <c r="A57" s="11">
        <v>46235</v>
      </c>
      <c r="C57">
        <f t="shared" si="0"/>
        <v>1948842.7200000002</v>
      </c>
      <c r="D57">
        <v>171166.07999999999</v>
      </c>
    </row>
    <row r="58" spans="1:4" x14ac:dyDescent="0.2">
      <c r="A58" s="11">
        <v>46266</v>
      </c>
      <c r="C58">
        <f t="shared" si="0"/>
        <v>2120008.8000000003</v>
      </c>
      <c r="D58">
        <v>171166.07999999999</v>
      </c>
    </row>
    <row r="59" spans="1:4" x14ac:dyDescent="0.2">
      <c r="A59" s="11">
        <v>46296</v>
      </c>
      <c r="C59">
        <f t="shared" si="0"/>
        <v>2291174.8800000004</v>
      </c>
      <c r="D59">
        <v>171166.07999999999</v>
      </c>
    </row>
    <row r="60" spans="1:4" x14ac:dyDescent="0.2">
      <c r="A60" s="11">
        <v>46327</v>
      </c>
      <c r="C60">
        <f t="shared" si="0"/>
        <v>2462340.9600000004</v>
      </c>
      <c r="D60">
        <v>171166.07999999999</v>
      </c>
    </row>
    <row r="61" spans="1:4" x14ac:dyDescent="0.2">
      <c r="A61" s="11">
        <v>46357</v>
      </c>
      <c r="C61">
        <f t="shared" si="0"/>
        <v>2633507.0400000005</v>
      </c>
      <c r="D61">
        <v>171166.07999999999</v>
      </c>
    </row>
    <row r="62" spans="1:4" x14ac:dyDescent="0.2">
      <c r="A62" s="11">
        <v>46388</v>
      </c>
      <c r="C62">
        <f t="shared" si="0"/>
        <v>2804673.1200000006</v>
      </c>
      <c r="D62">
        <v>171166.07999999999</v>
      </c>
    </row>
    <row r="63" spans="1:4" x14ac:dyDescent="0.2">
      <c r="A63" s="11">
        <v>46419</v>
      </c>
      <c r="C63">
        <f t="shared" si="0"/>
        <v>2975839.2000000007</v>
      </c>
      <c r="D63">
        <v>171166.07999999999</v>
      </c>
    </row>
    <row r="64" spans="1:4" x14ac:dyDescent="0.2">
      <c r="A64" s="11">
        <v>46447</v>
      </c>
      <c r="C64">
        <f t="shared" si="0"/>
        <v>3147005.2800000007</v>
      </c>
      <c r="D64">
        <v>171166.07999999999</v>
      </c>
    </row>
    <row r="65" spans="1:13" x14ac:dyDescent="0.2">
      <c r="A65" s="11">
        <v>46478</v>
      </c>
      <c r="C65">
        <f t="shared" si="0"/>
        <v>3318171.3600000008</v>
      </c>
      <c r="D65">
        <v>171166.07999999999</v>
      </c>
    </row>
    <row r="66" spans="1:13" x14ac:dyDescent="0.2">
      <c r="A66" s="11">
        <v>46508</v>
      </c>
      <c r="C66">
        <f t="shared" si="0"/>
        <v>3489337.4400000009</v>
      </c>
      <c r="D66">
        <v>171166.07999999999</v>
      </c>
    </row>
    <row r="67" spans="1:13" x14ac:dyDescent="0.2">
      <c r="A67" s="11">
        <v>46539</v>
      </c>
      <c r="C67">
        <f t="shared" si="0"/>
        <v>3660503.5200000009</v>
      </c>
      <c r="D67">
        <v>171166.07999999999</v>
      </c>
    </row>
    <row r="68" spans="1:13" x14ac:dyDescent="0.2">
      <c r="A68" s="11">
        <v>46569</v>
      </c>
      <c r="C68">
        <f t="shared" si="0"/>
        <v>3831669.600000001</v>
      </c>
      <c r="D68">
        <v>171166.07999999999</v>
      </c>
    </row>
    <row r="69" spans="1:13" x14ac:dyDescent="0.2">
      <c r="A69" s="11">
        <v>46600</v>
      </c>
      <c r="C69">
        <f t="shared" si="0"/>
        <v>4002835.6800000011</v>
      </c>
      <c r="D69">
        <v>171166.07999999999</v>
      </c>
    </row>
    <row r="70" spans="1:13" x14ac:dyDescent="0.2">
      <c r="A70" s="11">
        <v>46631</v>
      </c>
      <c r="C70">
        <f t="shared" si="0"/>
        <v>4174001.7600000012</v>
      </c>
      <c r="D70">
        <v>171166.07999999999</v>
      </c>
    </row>
    <row r="71" spans="1:13" x14ac:dyDescent="0.2">
      <c r="A71" s="11">
        <v>46661</v>
      </c>
      <c r="C71">
        <f t="shared" si="0"/>
        <v>4345167.8400000008</v>
      </c>
      <c r="D71">
        <v>171166.07999999999</v>
      </c>
    </row>
    <row r="72" spans="1:13" x14ac:dyDescent="0.2">
      <c r="A72" s="11">
        <v>46692</v>
      </c>
      <c r="C72">
        <f t="shared" si="0"/>
        <v>4516333.9200000009</v>
      </c>
      <c r="D72">
        <v>171166.07999999999</v>
      </c>
    </row>
    <row r="73" spans="1:13" x14ac:dyDescent="0.2">
      <c r="A73" s="11">
        <v>46722</v>
      </c>
      <c r="C73">
        <f t="shared" si="0"/>
        <v>4687500.0000000009</v>
      </c>
      <c r="D73">
        <v>171166.07999999999</v>
      </c>
    </row>
    <row r="75" spans="1:13" x14ac:dyDescent="0.2">
      <c r="B75">
        <v>4687500</v>
      </c>
    </row>
    <row r="76" spans="1:13" x14ac:dyDescent="0.2">
      <c r="C76">
        <f>B75-B48</f>
        <v>4279152</v>
      </c>
    </row>
    <row r="77" spans="1:13" x14ac:dyDescent="0.2">
      <c r="C77">
        <v>171166.07999999999</v>
      </c>
    </row>
    <row r="78" spans="1:13" x14ac:dyDescent="0.2">
      <c r="M78">
        <f>171000/18000</f>
        <v>9.5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92F7-580A-554C-B6A3-C69AF6343E67}">
  <dimension ref="A1:D78"/>
  <sheetViews>
    <sheetView tabSelected="1" topLeftCell="A35" workbookViewId="0">
      <selection activeCell="C50" sqref="C50"/>
    </sheetView>
  </sheetViews>
  <sheetFormatPr baseColWidth="10" defaultRowHeight="15" x14ac:dyDescent="0.2"/>
  <sheetData>
    <row r="1" spans="1:4" x14ac:dyDescent="0.2">
      <c r="A1" s="1" t="s">
        <v>67</v>
      </c>
      <c r="B1" s="1" t="s">
        <v>10</v>
      </c>
      <c r="C1" t="s">
        <v>70</v>
      </c>
      <c r="D1" t="s">
        <v>70</v>
      </c>
    </row>
    <row r="2" spans="1:4" x14ac:dyDescent="0.2">
      <c r="A2" s="11" t="s">
        <v>58</v>
      </c>
      <c r="B2">
        <v>52679</v>
      </c>
    </row>
    <row r="3" spans="1:4" x14ac:dyDescent="0.2">
      <c r="A3" s="11" t="s">
        <v>57</v>
      </c>
      <c r="B3">
        <v>59707</v>
      </c>
    </row>
    <row r="4" spans="1:4" x14ac:dyDescent="0.2">
      <c r="A4" s="11" t="s">
        <v>56</v>
      </c>
      <c r="B4">
        <v>66194</v>
      </c>
    </row>
    <row r="5" spans="1:4" x14ac:dyDescent="0.2">
      <c r="A5" s="11" t="s">
        <v>55</v>
      </c>
      <c r="B5">
        <v>71211</v>
      </c>
    </row>
    <row r="6" spans="1:4" x14ac:dyDescent="0.2">
      <c r="A6" s="11" t="s">
        <v>54</v>
      </c>
      <c r="B6">
        <v>76239</v>
      </c>
    </row>
    <row r="7" spans="1:4" x14ac:dyDescent="0.2">
      <c r="A7" s="11" t="s">
        <v>53</v>
      </c>
      <c r="B7">
        <v>81605</v>
      </c>
    </row>
    <row r="8" spans="1:4" x14ac:dyDescent="0.2">
      <c r="A8" s="11" t="s">
        <v>52</v>
      </c>
      <c r="B8">
        <v>86178</v>
      </c>
    </row>
    <row r="9" spans="1:4" x14ac:dyDescent="0.2">
      <c r="A9" s="11" t="s">
        <v>51</v>
      </c>
      <c r="B9">
        <v>91421</v>
      </c>
    </row>
    <row r="10" spans="1:4" x14ac:dyDescent="0.2">
      <c r="A10" s="11" t="s">
        <v>50</v>
      </c>
      <c r="B10">
        <v>96605</v>
      </c>
    </row>
    <row r="11" spans="1:4" x14ac:dyDescent="0.2">
      <c r="A11" s="11" t="s">
        <v>49</v>
      </c>
      <c r="B11">
        <v>101634</v>
      </c>
    </row>
    <row r="12" spans="1:4" x14ac:dyDescent="0.2">
      <c r="A12" s="11" t="s">
        <v>48</v>
      </c>
      <c r="B12">
        <v>106660</v>
      </c>
    </row>
    <row r="13" spans="1:4" x14ac:dyDescent="0.2">
      <c r="A13" s="11" t="s">
        <v>47</v>
      </c>
      <c r="B13">
        <v>111019</v>
      </c>
    </row>
    <row r="14" spans="1:4" x14ac:dyDescent="0.2">
      <c r="A14" s="11" t="s">
        <v>46</v>
      </c>
      <c r="B14">
        <v>70076</v>
      </c>
    </row>
    <row r="15" spans="1:4" x14ac:dyDescent="0.2">
      <c r="A15" s="11" t="s">
        <v>45</v>
      </c>
      <c r="B15">
        <v>77915</v>
      </c>
    </row>
    <row r="16" spans="1:4" x14ac:dyDescent="0.2">
      <c r="A16" s="11" t="s">
        <v>44</v>
      </c>
      <c r="B16">
        <v>84464</v>
      </c>
    </row>
    <row r="17" spans="1:2" x14ac:dyDescent="0.2">
      <c r="A17" s="11" t="s">
        <v>43</v>
      </c>
      <c r="B17">
        <v>89520</v>
      </c>
    </row>
    <row r="18" spans="1:2" x14ac:dyDescent="0.2">
      <c r="A18" s="11" t="s">
        <v>42</v>
      </c>
      <c r="B18">
        <v>94669</v>
      </c>
    </row>
    <row r="19" spans="1:2" x14ac:dyDescent="0.2">
      <c r="A19" s="11" t="s">
        <v>41</v>
      </c>
      <c r="B19">
        <v>99729</v>
      </c>
    </row>
    <row r="20" spans="1:2" x14ac:dyDescent="0.2">
      <c r="A20" s="11" t="s">
        <v>40</v>
      </c>
      <c r="B20">
        <v>104813</v>
      </c>
    </row>
    <row r="21" spans="1:2" x14ac:dyDescent="0.2">
      <c r="A21" s="11" t="s">
        <v>39</v>
      </c>
      <c r="B21">
        <v>109841</v>
      </c>
    </row>
    <row r="22" spans="1:2" x14ac:dyDescent="0.2">
      <c r="A22" s="11" t="s">
        <v>38</v>
      </c>
      <c r="B22">
        <v>114623</v>
      </c>
    </row>
    <row r="23" spans="1:2" x14ac:dyDescent="0.2">
      <c r="A23" s="11" t="s">
        <v>37</v>
      </c>
      <c r="B23">
        <v>119016</v>
      </c>
    </row>
    <row r="24" spans="1:2" x14ac:dyDescent="0.2">
      <c r="A24" s="11" t="s">
        <v>36</v>
      </c>
      <c r="B24">
        <v>123911</v>
      </c>
    </row>
    <row r="25" spans="1:2" x14ac:dyDescent="0.2">
      <c r="A25" s="11" t="s">
        <v>35</v>
      </c>
      <c r="B25">
        <v>128675</v>
      </c>
    </row>
    <row r="26" spans="1:2" x14ac:dyDescent="0.2">
      <c r="A26" s="11" t="s">
        <v>34</v>
      </c>
      <c r="B26">
        <v>79427</v>
      </c>
    </row>
    <row r="27" spans="1:2" x14ac:dyDescent="0.2">
      <c r="A27" s="11" t="s">
        <v>33</v>
      </c>
      <c r="B27">
        <v>88509</v>
      </c>
    </row>
    <row r="28" spans="1:2" x14ac:dyDescent="0.2">
      <c r="A28" s="11" t="s">
        <v>32</v>
      </c>
      <c r="B28">
        <v>94797</v>
      </c>
    </row>
    <row r="29" spans="1:2" x14ac:dyDescent="0.2">
      <c r="A29" s="11" t="s">
        <v>31</v>
      </c>
      <c r="B29">
        <v>99620</v>
      </c>
    </row>
    <row r="30" spans="1:2" x14ac:dyDescent="0.2">
      <c r="A30" s="11" t="s">
        <v>30</v>
      </c>
      <c r="B30">
        <v>104139</v>
      </c>
    </row>
    <row r="31" spans="1:2" x14ac:dyDescent="0.2">
      <c r="A31" s="11" t="s">
        <v>29</v>
      </c>
      <c r="B31">
        <v>107741</v>
      </c>
    </row>
    <row r="32" spans="1:2" x14ac:dyDescent="0.2">
      <c r="A32" s="11" t="s">
        <v>28</v>
      </c>
      <c r="B32">
        <v>111955</v>
      </c>
    </row>
    <row r="33" spans="1:2" x14ac:dyDescent="0.2">
      <c r="A33" s="11" t="s">
        <v>27</v>
      </c>
      <c r="B33">
        <v>115782</v>
      </c>
    </row>
    <row r="34" spans="1:2" x14ac:dyDescent="0.2">
      <c r="A34" s="11" t="s">
        <v>26</v>
      </c>
      <c r="B34">
        <v>119348</v>
      </c>
    </row>
    <row r="35" spans="1:2" x14ac:dyDescent="0.2">
      <c r="A35" s="11" t="s">
        <v>25</v>
      </c>
      <c r="B35">
        <v>124022</v>
      </c>
    </row>
    <row r="36" spans="1:2" x14ac:dyDescent="0.2">
      <c r="A36" s="11" t="s">
        <v>24</v>
      </c>
      <c r="B36">
        <v>127965</v>
      </c>
    </row>
    <row r="37" spans="1:2" x14ac:dyDescent="0.2">
      <c r="A37" s="11" t="s">
        <v>23</v>
      </c>
      <c r="B37">
        <v>131771</v>
      </c>
    </row>
    <row r="38" spans="1:2" x14ac:dyDescent="0.2">
      <c r="A38" s="11" t="s">
        <v>22</v>
      </c>
      <c r="B38">
        <v>80679</v>
      </c>
    </row>
    <row r="39" spans="1:2" x14ac:dyDescent="0.2">
      <c r="A39" s="11" t="s">
        <v>21</v>
      </c>
      <c r="B39">
        <v>88271</v>
      </c>
    </row>
    <row r="40" spans="1:2" x14ac:dyDescent="0.2">
      <c r="A40" s="11" t="s">
        <v>20</v>
      </c>
      <c r="B40">
        <v>93722</v>
      </c>
    </row>
    <row r="41" spans="1:2" x14ac:dyDescent="0.2">
      <c r="A41" s="11" t="s">
        <v>19</v>
      </c>
      <c r="B41">
        <v>98510</v>
      </c>
    </row>
    <row r="42" spans="1:2" x14ac:dyDescent="0.2">
      <c r="A42" s="11" t="s">
        <v>18</v>
      </c>
      <c r="B42">
        <v>103552</v>
      </c>
    </row>
    <row r="43" spans="1:2" x14ac:dyDescent="0.2">
      <c r="A43" s="11" t="s">
        <v>17</v>
      </c>
      <c r="B43">
        <v>107599</v>
      </c>
    </row>
    <row r="44" spans="1:2" x14ac:dyDescent="0.2">
      <c r="A44" s="11" t="s">
        <v>16</v>
      </c>
      <c r="B44">
        <v>112253</v>
      </c>
    </row>
    <row r="45" spans="1:2" x14ac:dyDescent="0.2">
      <c r="A45" s="11" t="s">
        <v>15</v>
      </c>
      <c r="B45">
        <v>117163</v>
      </c>
    </row>
    <row r="46" spans="1:2" x14ac:dyDescent="0.2">
      <c r="A46" s="11">
        <v>45901</v>
      </c>
      <c r="B46">
        <v>122827</v>
      </c>
    </row>
    <row r="47" spans="1:2" x14ac:dyDescent="0.2">
      <c r="A47" s="11">
        <v>45931</v>
      </c>
      <c r="B47">
        <v>128222</v>
      </c>
    </row>
    <row r="48" spans="1:2" x14ac:dyDescent="0.2">
      <c r="A48" s="11">
        <v>45962</v>
      </c>
      <c r="B48">
        <v>133339</v>
      </c>
    </row>
    <row r="49" spans="1:4" x14ac:dyDescent="0.2">
      <c r="A49" s="11">
        <v>45992</v>
      </c>
      <c r="C49">
        <f>B48+D49</f>
        <v>188005.44</v>
      </c>
      <c r="D49">
        <v>54666.44</v>
      </c>
    </row>
    <row r="50" spans="1:4" x14ac:dyDescent="0.2">
      <c r="A50" s="11">
        <v>46023</v>
      </c>
      <c r="C50">
        <f>C49+D50</f>
        <v>242671.88</v>
      </c>
      <c r="D50">
        <v>54666.44</v>
      </c>
    </row>
    <row r="51" spans="1:4" x14ac:dyDescent="0.2">
      <c r="A51" s="11">
        <v>46054</v>
      </c>
      <c r="C51">
        <f t="shared" ref="C51:C74" si="0">C50+D51</f>
        <v>297338.32</v>
      </c>
      <c r="D51">
        <v>54666.44</v>
      </c>
    </row>
    <row r="52" spans="1:4" x14ac:dyDescent="0.2">
      <c r="A52" s="11">
        <v>46082</v>
      </c>
      <c r="C52">
        <f t="shared" si="0"/>
        <v>352004.76</v>
      </c>
      <c r="D52">
        <v>54666.44</v>
      </c>
    </row>
    <row r="53" spans="1:4" x14ac:dyDescent="0.2">
      <c r="A53" s="11">
        <v>46113</v>
      </c>
      <c r="C53">
        <f t="shared" si="0"/>
        <v>406671.2</v>
      </c>
      <c r="D53">
        <v>54666.44</v>
      </c>
    </row>
    <row r="54" spans="1:4" x14ac:dyDescent="0.2">
      <c r="A54" s="11">
        <v>46143</v>
      </c>
      <c r="C54">
        <f t="shared" si="0"/>
        <v>461337.64</v>
      </c>
      <c r="D54">
        <v>54666.44</v>
      </c>
    </row>
    <row r="55" spans="1:4" x14ac:dyDescent="0.2">
      <c r="A55" s="11">
        <v>46174</v>
      </c>
      <c r="C55">
        <f t="shared" si="0"/>
        <v>516004.08</v>
      </c>
      <c r="D55">
        <v>54666.44</v>
      </c>
    </row>
    <row r="56" spans="1:4" x14ac:dyDescent="0.2">
      <c r="A56" s="11">
        <v>46204</v>
      </c>
      <c r="C56">
        <f t="shared" si="0"/>
        <v>570670.52</v>
      </c>
      <c r="D56">
        <v>54666.44</v>
      </c>
    </row>
    <row r="57" spans="1:4" x14ac:dyDescent="0.2">
      <c r="A57" s="11">
        <v>46235</v>
      </c>
      <c r="C57">
        <f t="shared" si="0"/>
        <v>625336.96</v>
      </c>
      <c r="D57">
        <v>54666.44</v>
      </c>
    </row>
    <row r="58" spans="1:4" x14ac:dyDescent="0.2">
      <c r="A58" s="11">
        <v>46266</v>
      </c>
      <c r="C58">
        <f t="shared" si="0"/>
        <v>680003.39999999991</v>
      </c>
      <c r="D58">
        <v>54666.44</v>
      </c>
    </row>
    <row r="59" spans="1:4" x14ac:dyDescent="0.2">
      <c r="A59" s="11">
        <v>46296</v>
      </c>
      <c r="C59">
        <f t="shared" si="0"/>
        <v>734669.83999999985</v>
      </c>
      <c r="D59">
        <v>54666.44</v>
      </c>
    </row>
    <row r="60" spans="1:4" x14ac:dyDescent="0.2">
      <c r="A60" s="11">
        <v>46327</v>
      </c>
      <c r="C60">
        <f t="shared" si="0"/>
        <v>789336.2799999998</v>
      </c>
      <c r="D60">
        <v>54666.44</v>
      </c>
    </row>
    <row r="61" spans="1:4" x14ac:dyDescent="0.2">
      <c r="A61" s="11">
        <v>46357</v>
      </c>
      <c r="C61">
        <f t="shared" si="0"/>
        <v>844002.71999999974</v>
      </c>
      <c r="D61">
        <v>54666.44</v>
      </c>
    </row>
    <row r="62" spans="1:4" x14ac:dyDescent="0.2">
      <c r="A62" s="11">
        <v>46388</v>
      </c>
      <c r="C62">
        <f t="shared" si="0"/>
        <v>898669.15999999968</v>
      </c>
      <c r="D62">
        <v>54666.44</v>
      </c>
    </row>
    <row r="63" spans="1:4" x14ac:dyDescent="0.2">
      <c r="A63" s="11">
        <v>46419</v>
      </c>
      <c r="C63">
        <f t="shared" si="0"/>
        <v>953335.59999999963</v>
      </c>
      <c r="D63">
        <v>54666.44</v>
      </c>
    </row>
    <row r="64" spans="1:4" x14ac:dyDescent="0.2">
      <c r="A64" s="11">
        <v>46447</v>
      </c>
      <c r="C64">
        <f t="shared" si="0"/>
        <v>1008002.0399999996</v>
      </c>
      <c r="D64">
        <v>54666.44</v>
      </c>
    </row>
    <row r="65" spans="1:4" x14ac:dyDescent="0.2">
      <c r="A65" s="11">
        <v>46478</v>
      </c>
      <c r="C65">
        <f t="shared" si="0"/>
        <v>1062668.4799999995</v>
      </c>
      <c r="D65">
        <v>54666.44</v>
      </c>
    </row>
    <row r="66" spans="1:4" x14ac:dyDescent="0.2">
      <c r="A66" s="11">
        <v>46508</v>
      </c>
      <c r="C66">
        <f t="shared" si="0"/>
        <v>1117334.9199999995</v>
      </c>
      <c r="D66">
        <v>54666.44</v>
      </c>
    </row>
    <row r="67" spans="1:4" x14ac:dyDescent="0.2">
      <c r="A67" s="11">
        <v>46539</v>
      </c>
      <c r="C67">
        <f t="shared" si="0"/>
        <v>1172001.3599999994</v>
      </c>
      <c r="D67">
        <v>54666.44</v>
      </c>
    </row>
    <row r="68" spans="1:4" x14ac:dyDescent="0.2">
      <c r="A68" s="11">
        <v>46569</v>
      </c>
      <c r="C68">
        <f t="shared" si="0"/>
        <v>1226667.7999999993</v>
      </c>
      <c r="D68">
        <v>54666.44</v>
      </c>
    </row>
    <row r="69" spans="1:4" x14ac:dyDescent="0.2">
      <c r="A69" s="11">
        <v>46600</v>
      </c>
      <c r="C69">
        <f t="shared" si="0"/>
        <v>1281334.2399999993</v>
      </c>
      <c r="D69">
        <v>54666.44</v>
      </c>
    </row>
    <row r="70" spans="1:4" x14ac:dyDescent="0.2">
      <c r="A70" s="11">
        <v>46631</v>
      </c>
      <c r="C70">
        <f t="shared" si="0"/>
        <v>1336000.6799999992</v>
      </c>
      <c r="D70">
        <v>54666.44</v>
      </c>
    </row>
    <row r="71" spans="1:4" x14ac:dyDescent="0.2">
      <c r="A71" s="11">
        <v>46661</v>
      </c>
      <c r="C71">
        <f t="shared" si="0"/>
        <v>1390667.1199999992</v>
      </c>
      <c r="D71">
        <v>54666.44</v>
      </c>
    </row>
    <row r="72" spans="1:4" x14ac:dyDescent="0.2">
      <c r="A72" s="11">
        <v>46692</v>
      </c>
      <c r="C72">
        <f t="shared" si="0"/>
        <v>1445333.5599999991</v>
      </c>
      <c r="D72">
        <v>54666.44</v>
      </c>
    </row>
    <row r="73" spans="1:4" x14ac:dyDescent="0.2">
      <c r="A73" s="11">
        <v>46722</v>
      </c>
      <c r="C73">
        <f t="shared" si="0"/>
        <v>1499999.9999999991</v>
      </c>
      <c r="D73">
        <v>54666.44</v>
      </c>
    </row>
    <row r="74" spans="1:4" x14ac:dyDescent="0.2">
      <c r="B74">
        <v>1500000</v>
      </c>
    </row>
    <row r="77" spans="1:4" x14ac:dyDescent="0.2">
      <c r="B77">
        <f>B74-B48</f>
        <v>1366661</v>
      </c>
    </row>
    <row r="78" spans="1:4" x14ac:dyDescent="0.2">
      <c r="B78">
        <f>B77/25</f>
        <v>54666.44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Vinculaciones</vt:lpstr>
      <vt:lpstr>Uso</vt:lpstr>
      <vt:lpstr>Proporcion Uso</vt:lpstr>
      <vt:lpstr>proyecciones vinculaciones</vt:lpstr>
      <vt:lpstr>proyecciones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Humberto Londoño Restrepo</cp:lastModifiedBy>
  <dcterms:created xsi:type="dcterms:W3CDTF">2025-12-12T05:14:59Z</dcterms:created>
  <dcterms:modified xsi:type="dcterms:W3CDTF">2025-12-16T04:15:08Z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2025-12-13T21:34:39Z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fca161f1-931d-497a-b4ac-6151a580257e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